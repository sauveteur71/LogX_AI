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📋 Synthese" sheetId="1" state="visible" r:id="rId1"/>
    <sheet xmlns:r="http://schemas.openxmlformats.org/officeDocument/2006/relationships" name="👥 Participants" sheetId="2" state="visible" r:id="rId2"/>
    <sheet xmlns:r="http://schemas.openxmlformats.org/officeDocument/2006/relationships" name="⚙️ Materiel" sheetId="3" state="visible" r:id="rId3"/>
    <sheet xmlns:r="http://schemas.openxmlformats.org/officeDocument/2006/relationships" name="🕒 Planning" sheetId="4" state="visible" r:id="rId4"/>
    <sheet xmlns:r="http://schemas.openxmlformats.org/officeDocument/2006/relationships" name="🍽️ Intendance" sheetId="5" state="visible" r:id="rId5"/>
    <sheet xmlns:r="http://schemas.openxmlformats.org/officeDocument/2006/relationships" name="🔧 Prep. Juin" sheetId="6" state="visible" r:id="rId6"/>
    <sheet xmlns:r="http://schemas.openxmlformats.org/officeDocument/2006/relationships" name="📄 Guide Log REG1TEST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1F3864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C0392B"/>
      <sz val="9"/>
    </font>
    <font>
      <name val="Arial"/>
      <charset val="1"/>
      <family val="0"/>
      <color rgb="FF1F3864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F3864"/>
      <sz val="10"/>
    </font>
    <font>
      <name val="Arial"/>
      <charset val="1"/>
      <family val="0"/>
      <color rgb="FF666666"/>
      <sz val="9"/>
    </font>
    <font>
      <name val="Arial"/>
      <charset val="1"/>
      <family val="0"/>
      <b val="1"/>
      <color rgb="FF806000"/>
      <sz val="9"/>
    </font>
    <font>
      <name val="Arial"/>
      <charset val="1"/>
      <family val="0"/>
      <b val="1"/>
      <color rgb="FF2E75B6"/>
      <sz val="9"/>
    </font>
    <font>
      <name val="Arial"/>
      <charset val="1"/>
      <family val="0"/>
      <i val="1"/>
      <color rgb="FF1F3864"/>
      <sz val="9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27AE60"/>
      <sz val="10"/>
    </font>
    <font>
      <name val="Arial"/>
      <charset val="1"/>
      <family val="0"/>
      <i val="1"/>
      <color rgb="FF1F3864"/>
      <sz val="10"/>
    </font>
    <font>
      <name val="Courier New"/>
      <charset val="1"/>
      <family val="0"/>
      <sz val="9"/>
    </font>
  </fonts>
  <fills count="21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5E8F0"/>
        <bgColor rgb="FFD5F5E3"/>
      </patternFill>
    </fill>
    <fill>
      <patternFill patternType="solid">
        <fgColor rgb="FFFFFFFF"/>
        <bgColor rgb="FFFAFAFA"/>
      </patternFill>
    </fill>
    <fill>
      <patternFill patternType="solid">
        <fgColor rgb="FF2E75B6"/>
        <bgColor rgb="FF0066CC"/>
      </patternFill>
    </fill>
    <fill>
      <patternFill patternType="solid">
        <fgColor rgb="FFFAFAFA"/>
        <bgColor rgb="FFF8F8F8"/>
      </patternFill>
    </fill>
    <fill>
      <patternFill patternType="solid">
        <fgColor rgb="FFF2F2F2"/>
        <bgColor rgb="FFF0F0F0"/>
      </patternFill>
    </fill>
    <fill>
      <patternFill patternType="solid">
        <fgColor rgb="FFFDECEA"/>
        <bgColor rgb="FFFDF2E9"/>
      </patternFill>
    </fill>
    <fill>
      <patternFill patternType="solid">
        <fgColor rgb="FFFFF3CD"/>
        <bgColor rgb="FFFDF2E9"/>
      </patternFill>
    </fill>
    <fill>
      <patternFill patternType="solid">
        <fgColor rgb="FFD5F5E3"/>
        <bgColor rgb="FFD5E8F0"/>
      </patternFill>
    </fill>
    <fill>
      <patternFill patternType="solid">
        <fgColor rgb="FFE8F4FD"/>
        <bgColor rgb="FFEBF5FB"/>
      </patternFill>
    </fill>
    <fill>
      <patternFill patternType="solid">
        <fgColor rgb="FFF0F0F0"/>
        <bgColor rgb="FFF2F2F2"/>
      </patternFill>
    </fill>
    <fill>
      <patternFill patternType="solid">
        <fgColor rgb="FFEBF5FB"/>
        <bgColor rgb="FFE8F4FD"/>
      </patternFill>
    </fill>
    <fill>
      <patternFill patternType="solid">
        <fgColor rgb="FFFDEEFA"/>
        <bgColor rgb="FFF4ECF7"/>
      </patternFill>
    </fill>
    <fill>
      <patternFill patternType="solid">
        <fgColor rgb="FFFDF2E9"/>
        <bgColor rgb="FFFDECEA"/>
      </patternFill>
    </fill>
    <fill>
      <patternFill patternType="solid">
        <fgColor rgb="FFF4ECF7"/>
        <bgColor rgb="FFF0F0F0"/>
      </patternFill>
    </fill>
    <fill>
      <patternFill patternType="solid">
        <fgColor rgb="FFE8F8F0"/>
        <bgColor rgb="FFEBF5FB"/>
      </patternFill>
    </fill>
    <fill>
      <patternFill patternType="solid">
        <fgColor rgb="FFC0392B"/>
        <bgColor rgb="FF993366"/>
      </patternFill>
    </fill>
    <fill>
      <patternFill patternType="solid">
        <fgColor rgb="FFFFF8F0"/>
        <bgColor rgb="FFFAFAFA"/>
      </patternFill>
    </fill>
    <fill>
      <patternFill patternType="solid">
        <fgColor rgb="FFF8F8F8"/>
        <bgColor rgb="FFFAFAFA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bottom"/>
    </xf>
    <xf numFmtId="0" fontId="11" fillId="11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left" vertical="center"/>
    </xf>
    <xf numFmtId="0" fontId="11" fillId="17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left" vertical="center"/>
    </xf>
    <xf numFmtId="0" fontId="18" fillId="16" borderId="1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0" fontId="10" fillId="15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/>
    </xf>
    <xf numFmtId="0" fontId="9" fillId="1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bottom"/>
    </xf>
    <xf numFmtId="0" fontId="21" fillId="10" borderId="1" applyAlignment="1" pivotButton="0" quotePrefix="0" xfId="0">
      <alignment horizontal="center" vertical="bottom"/>
    </xf>
    <xf numFmtId="0" fontId="12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20" fillId="8" borderId="1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10" fillId="19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/>
    </xf>
    <xf numFmtId="0" fontId="22" fillId="3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/>
    </xf>
    <xf numFmtId="0" fontId="23" fillId="2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7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bottom"/>
    </xf>
    <xf numFmtId="0" fontId="11" fillId="11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left" vertical="center"/>
    </xf>
    <xf numFmtId="0" fontId="11" fillId="17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left" vertical="center"/>
    </xf>
    <xf numFmtId="0" fontId="18" fillId="16" borderId="1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0" fontId="10" fillId="15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/>
    </xf>
    <xf numFmtId="0" fontId="9" fillId="1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bottom"/>
    </xf>
    <xf numFmtId="0" fontId="21" fillId="10" borderId="1" applyAlignment="1" pivotButton="0" quotePrefix="0" xfId="0">
      <alignment horizontal="center" vertical="bottom"/>
    </xf>
    <xf numFmtId="0" fontId="12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20" fillId="8" borderId="1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10" fillId="19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/>
    </xf>
    <xf numFmtId="0" fontId="22" fillId="3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/>
    </xf>
    <xf numFmtId="0" fontId="23" fillId="2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8F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CCCCCC"/>
      <rgbColor rgb="FF808080"/>
      <rgbColor rgb="FFFDEEFA"/>
      <rgbColor rgb="FF993366"/>
      <rgbColor rgb="FFFFF3CD"/>
      <rgbColor rgb="FFE8F8F0"/>
      <rgbColor rgb="FF660066"/>
      <rgbColor rgb="FFFF8080"/>
      <rgbColor rgb="FF0066CC"/>
      <rgbColor rgb="FFD5E8F0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8F4FD"/>
      <rgbColor rgb="FFD5F5E3"/>
      <rgbColor rgb="FFFDF2E9"/>
      <rgbColor rgb="FFEBF5FB"/>
      <rgbColor rgb="FFF4ECF7"/>
      <rgbColor rgb="FFF0F0F0"/>
      <rgbColor rgb="FFFDECEA"/>
      <rgbColor rgb="FF2E75B6"/>
      <rgbColor rgb="FF33CCCC"/>
      <rgbColor rgb="FF99CC00"/>
      <rgbColor rgb="FFF8F8F8"/>
      <rgbColor rgb="FFFF9900"/>
      <rgbColor rgb="FFFF6600"/>
      <rgbColor rgb="FF666666"/>
      <rgbColor rgb="FFFAFAFA"/>
      <rgbColor rgb="FF1F3864"/>
      <rgbColor rgb="FF27AE6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86" min="1" max="1"/>
    <col width="55" customWidth="1" style="86" min="2" max="2"/>
    <col width="20" customWidth="1" style="86" min="3" max="3"/>
    <col width="30" customWidth="1" style="86" min="4" max="4"/>
  </cols>
  <sheetData>
    <row r="1" ht="34.5" customHeight="1" s="87">
      <c r="A1" s="88" t="inlineStr">
        <is>
          <t>RALLYE DES POINTS HAUTS 2026 - Radio-Club F6KQJ - Chaspinhac (43)</t>
        </is>
      </c>
    </row>
    <row r="2" ht="18" customHeight="1" s="87">
      <c r="A2" s="89" t="inlineStr">
        <is>
          <t>Objectif : Podium national | GPS : 45.10320, 3.93007 | Locator : JN15XC (a confirmer) | Sam. 5 juillet 14h UTC -&gt; Dim. 6 juillet 14h UTC</t>
        </is>
      </c>
    </row>
    <row r="4" ht="15" customHeight="1" s="87">
      <c r="A4" s="90" t="inlineStr">
        <is>
          <t>INFORMATIONS CLES</t>
        </is>
      </c>
      <c r="B4" s="91" t="n"/>
    </row>
    <row r="5" ht="18" customHeight="1" s="87">
      <c r="A5" s="92" t="inlineStr">
        <is>
          <t>Indicatif club</t>
        </is>
      </c>
      <c r="B5" s="93" t="inlineStr">
        <is>
          <t>F6KQJ</t>
        </is>
      </c>
    </row>
    <row r="6" ht="18" customHeight="1" s="87">
      <c r="A6" s="92" t="inlineStr">
        <is>
          <t>Coordinateur</t>
        </is>
      </c>
      <c r="B6" s="93" t="inlineStr">
        <is>
          <t>F4GLD - Olivier Parriaux - 06 28 04 97 72 - f4gld@hotmail.fr</t>
        </is>
      </c>
    </row>
    <row r="7" ht="18" customHeight="1" s="87">
      <c r="A7" s="92" t="inlineStr">
        <is>
          <t>Bandes actives</t>
        </is>
      </c>
      <c r="B7" s="93" t="inlineStr">
        <is>
          <t>144 MHz + 432 MHz (1,2 GHz non actif en 2026)</t>
        </is>
      </c>
    </row>
    <row r="8" ht="18" customHeight="1" s="87">
      <c r="A8" s="92" t="inlineStr">
        <is>
          <t>Locator</t>
        </is>
      </c>
      <c r="B8" s="93" t="inlineStr">
        <is>
          <t>JN15XC - A CONFIRMER avant contest (important pour les logs !)</t>
        </is>
      </c>
    </row>
    <row r="9" ht="18" customHeight="1" s="87">
      <c r="A9" s="92" t="inlineStr">
        <is>
          <t>Alimentation</t>
        </is>
      </c>
      <c r="B9" s="93" t="inlineStr">
        <is>
          <t>100% autonome - Groupe electrogene F1HAW - obligatoire pour classement</t>
        </is>
      </c>
    </row>
    <row r="10" ht="18" customHeight="1" s="87">
      <c r="A10" s="92" t="inlineStr">
        <is>
          <t>Score ref. 2023</t>
        </is>
      </c>
      <c r="B10" s="93" t="inlineStr">
        <is>
          <t>53 877 points (site Fix-Saint-Geneys JN15TC)</t>
        </is>
      </c>
    </row>
    <row r="11" ht="18" customHeight="1" s="87">
      <c r="A11" s="92" t="inlineStr">
        <is>
          <t>Participants prevus</t>
        </is>
      </c>
      <c r="B11" s="93" t="inlineStr">
        <is>
          <t>8 a 12 personnes</t>
        </is>
      </c>
    </row>
    <row r="12" ht="18" customHeight="1" s="87">
      <c r="A12" s="92" t="inlineStr">
        <is>
          <t>Envoi logs</t>
        </is>
      </c>
      <c r="B12" s="93" t="inlineStr">
        <is>
          <t>Avant mercredi 9 juillet 2026 - http://concours.r-e-f.org/tools/upload/thf.php</t>
        </is>
      </c>
    </row>
    <row r="13" ht="18" customHeight="1" s="87">
      <c r="A13" s="92" t="inlineStr">
        <is>
          <t>Format logs</t>
        </is>
      </c>
      <c r="B13" s="93" t="inlineStr">
        <is>
          <t>REG1TEST - 1 FICHIER SEPARE PAR BANDE (144 MHz + 432 MHz = 2 fichiers)</t>
        </is>
      </c>
    </row>
    <row r="14" ht="18" customHeight="1" s="87">
      <c r="A14" s="92" t="inlineStr">
        <is>
          <t>Autorisation terrain</t>
        </is>
      </c>
      <c r="B14" s="93" t="inlineStr">
        <is>
          <t>Club parapente Chaspinhac - OBTENUE</t>
        </is>
      </c>
    </row>
    <row r="15" ht="18" customHeight="1" s="87">
      <c r="A15" s="92" t="inlineStr">
        <is>
          <t>Lettre Mairie</t>
        </is>
      </c>
      <c r="B15" s="93" t="inlineStr">
        <is>
          <t>Envoyee - en attente de reponse</t>
        </is>
      </c>
    </row>
    <row r="16" ht="9.75" customHeight="1" s="87"/>
    <row r="17" ht="15" customHeight="1" s="87">
      <c r="A17" s="90" t="inlineStr">
        <is>
          <t>REGLEMENT OFFICIEL REF-UNION (12 mars 2025)</t>
        </is>
      </c>
      <c r="B17" s="94" t="n"/>
      <c r="C17" s="94" t="n"/>
      <c r="D17" s="91" t="n"/>
    </row>
    <row r="18" ht="15" customHeight="1" s="87">
      <c r="A18" s="95" t="inlineStr">
        <is>
          <t>Point</t>
        </is>
      </c>
      <c r="B18" s="95" t="inlineStr">
        <is>
          <t>Regle</t>
        </is>
      </c>
      <c r="C18" s="95" t="inlineStr">
        <is>
          <t>Notre situation</t>
        </is>
      </c>
      <c r="D18" s="95" t="inlineStr">
        <is>
          <t>Consequence si non respecte</t>
        </is>
      </c>
    </row>
    <row r="19" ht="21.75" customHeight="1" s="87">
      <c r="A19" s="96" t="inlineStr">
        <is>
          <t>Date et horaire</t>
        </is>
      </c>
      <c r="B19" s="96" t="inlineStr">
        <is>
          <t>1er samedi juillet 14h UTC -&gt; dimanche 14h UTC</t>
        </is>
      </c>
      <c r="C19" s="96" t="inlineStr">
        <is>
          <t>5 juillet 14h UTC -&gt; 6 juillet 14h UTC</t>
        </is>
      </c>
      <c r="D19" s="96" t="inlineStr">
        <is>
          <t>Hors concours</t>
        </is>
      </c>
    </row>
    <row r="20" ht="21.75" customHeight="1" s="87">
      <c r="A20" s="97" t="inlineStr">
        <is>
          <t>Bandes</t>
        </is>
      </c>
      <c r="B20" s="97" t="inlineStr">
        <is>
          <t>144 MHz et au-dela</t>
        </is>
      </c>
      <c r="C20" s="97" t="inlineStr">
        <is>
          <t>144 + 432 MHz actives</t>
        </is>
      </c>
      <c r="D20" s="97" t="inlineStr">
        <is>
          <t>RAS</t>
        </is>
      </c>
    </row>
    <row r="21" ht="21.75" customHeight="1" s="87">
      <c r="A21" s="96" t="inlineStr">
        <is>
          <t>Reports</t>
        </is>
      </c>
      <c r="B21" s="96" t="inlineStr">
        <is>
          <t>RS(T) + N° QSO (001+) + QTH Locator - separate par bande</t>
        </is>
      </c>
      <c r="C21" s="96" t="inlineStr">
        <is>
          <t>Logiciel a configurer pour chaque bande</t>
        </is>
      </c>
      <c r="D21" s="96" t="inlineStr">
        <is>
          <t>Log invalide</t>
        </is>
      </c>
    </row>
    <row r="22" ht="21.75" customHeight="1" s="87">
      <c r="A22" s="97" t="inlineStr">
        <is>
          <t>Points</t>
        </is>
      </c>
      <c r="B22" s="97" t="inlineStr">
        <is>
          <t>1 point par km - SANS multiplicateur</t>
        </is>
      </c>
      <c r="C22" s="97" t="inlineStr">
        <is>
          <t>Maximiser la distance totale des QSO</t>
        </is>
      </c>
      <c r="D22" s="97" t="inlineStr">
        <is>
          <t>RAS</t>
        </is>
      </c>
    </row>
    <row r="23" ht="21.75" customHeight="1" s="87">
      <c r="A23" s="96" t="inlineStr">
        <is>
          <t>Classement</t>
        </is>
      </c>
      <c r="B23" s="96" t="inlineStr">
        <is>
          <t>Alimentation 100% autonome + structures montees/demontees specifiquement</t>
        </is>
      </c>
      <c r="C23" s="96" t="inlineStr">
        <is>
          <t>Groupe electrogene F1HAW - demo complet apres</t>
        </is>
      </c>
      <c r="D23" s="98" t="inlineStr">
        <is>
          <t>Disqualification</t>
        </is>
      </c>
    </row>
    <row r="24" ht="21.75" customHeight="1" s="87">
      <c r="A24" s="97" t="inlineStr">
        <is>
          <t>Format log</t>
        </is>
      </c>
      <c r="B24" s="97" t="inlineStr">
        <is>
          <t>Un fichier REG1TEST SEPARE PAR BANDE</t>
        </is>
      </c>
      <c r="C24" s="97" t="inlineStr">
        <is>
          <t>2 fichiers : 144MHz.edi + 432MHz.edi</t>
        </is>
      </c>
      <c r="D24" s="98" t="inlineStr">
        <is>
          <t>Non-classement</t>
        </is>
      </c>
    </row>
    <row r="25" ht="21.75" customHeight="1" s="87">
      <c r="A25" s="96" t="inlineStr">
        <is>
          <t>Envoi log</t>
        </is>
      </c>
      <c r="B25" s="96" t="inlineStr">
        <is>
          <t>Au plus tard 1er mercredi suivant = 9 juillet 2026</t>
        </is>
      </c>
      <c r="C25" s="96" t="inlineStr">
        <is>
          <t>Via http://concours.r-e-f.org/tools/upload/thf.php</t>
        </is>
      </c>
      <c r="D25" s="98" t="inlineStr">
        <is>
          <t>Non-classement</t>
        </is>
      </c>
    </row>
    <row r="27" ht="9.75" customHeight="1" s="87"/>
    <row r="28" ht="15" customHeight="1" s="87">
      <c r="A28" s="90" t="inlineStr">
        <is>
          <t>DATES CLES</t>
        </is>
      </c>
      <c r="B28" s="94" t="n"/>
      <c r="C28" s="94" t="n"/>
      <c r="D28" s="91" t="n"/>
    </row>
    <row r="29" ht="15" customHeight="1" s="87">
      <c r="A29" s="95" t="inlineStr">
        <is>
          <t>Date</t>
        </is>
      </c>
      <c r="B29" s="95" t="inlineStr">
        <is>
          <t>Action</t>
        </is>
      </c>
      <c r="C29" s="95" t="inlineStr">
        <is>
          <t>Statut</t>
        </is>
      </c>
      <c r="D29" s="95" t="inlineStr">
        <is>
          <t>Note</t>
        </is>
      </c>
    </row>
    <row r="30" ht="18" customHeight="1" s="87">
      <c r="A30" s="99" t="inlineStr">
        <is>
          <t>Avant 30 juin</t>
        </is>
      </c>
      <c r="B30" s="100" t="inlineStr">
        <is>
          <t>Journee montage pylone + revision antennes chez F4GLD</t>
        </is>
      </c>
      <c r="C30" s="101" t="inlineStr">
        <is>
          <t>URGENT</t>
        </is>
      </c>
      <c r="D30" s="102" t="n"/>
    </row>
    <row r="31" ht="18" customHeight="1" s="87">
      <c r="A31" s="99" t="inlineStr">
        <is>
          <t>28 juin (J-7)</t>
        </is>
      </c>
      <c r="B31" s="100" t="inlineStr">
        <is>
          <t>Envoi rappel GPS, locator, planning a tous les participants</t>
        </is>
      </c>
      <c r="C31" s="103" t="inlineStr">
        <is>
          <t>A faire</t>
        </is>
      </c>
      <c r="D31" s="102" t="n"/>
    </row>
    <row r="32" ht="18" customHeight="1" s="87">
      <c r="A32" s="99" t="inlineStr">
        <is>
          <t>4 juillet apres-midi</t>
        </is>
      </c>
      <c r="B32" s="100" t="inlineStr">
        <is>
          <t>Transport remorque pylone sur site (optionnel)</t>
        </is>
      </c>
      <c r="C32" s="104" t="inlineStr">
        <is>
          <t>Optionnel</t>
        </is>
      </c>
      <c r="D32" s="102" t="n"/>
    </row>
    <row r="33" ht="18" customHeight="1" s="87">
      <c r="A33" s="99" t="inlineStr">
        <is>
          <t>5 juillet 08h00</t>
        </is>
      </c>
      <c r="B33" s="100" t="inlineStr">
        <is>
          <t>Accueil + croissants + montage</t>
        </is>
      </c>
      <c r="C33" s="105" t="inlineStr">
        <is>
          <t>J-Jour</t>
        </is>
      </c>
      <c r="D33" s="102" t="n"/>
    </row>
    <row r="34" ht="18" customHeight="1" s="87">
      <c r="A34" s="99" t="inlineStr">
        <is>
          <t>5 juillet 16h00 loc.</t>
        </is>
      </c>
      <c r="B34" s="100" t="inlineStr">
        <is>
          <t>DEBUT CONTEST (14h00 UTC)</t>
        </is>
      </c>
      <c r="C34" s="101" t="inlineStr">
        <is>
          <t>CRITIQUE</t>
        </is>
      </c>
      <c r="D34" s="102" t="n"/>
    </row>
    <row r="35" ht="18" customHeight="1" s="87">
      <c r="A35" s="99" t="inlineStr">
        <is>
          <t>6 juillet 16h00 loc.</t>
        </is>
      </c>
      <c r="B35" s="100" t="inlineStr">
        <is>
          <t>FIN CONTEST + sauvegarde 2 logs (14h00 UTC)</t>
        </is>
      </c>
      <c r="C35" s="101" t="inlineStr">
        <is>
          <t>CRITIQUE</t>
        </is>
      </c>
      <c r="D35" s="102" t="n"/>
    </row>
    <row r="36" ht="18" customHeight="1" s="87">
      <c r="A36" s="99" t="inlineStr">
        <is>
          <t>6 juillet avant 19h00</t>
        </is>
      </c>
      <c r="B36" s="100" t="inlineStr">
        <is>
          <t>Demontage complet + restitution site</t>
        </is>
      </c>
      <c r="C36" s="101" t="inlineStr">
        <is>
          <t>OBLIGATOIRE</t>
        </is>
      </c>
      <c r="D36" s="102" t="n"/>
    </row>
    <row r="37" ht="18" customHeight="1" s="87">
      <c r="A37" s="99" t="inlineStr">
        <is>
          <t>9 juillet (merc.)</t>
        </is>
      </c>
      <c r="B37" s="100" t="inlineStr">
        <is>
          <t>Envoi des 2 logs sur le site REF-Union</t>
        </is>
      </c>
      <c r="C37" s="101" t="inlineStr">
        <is>
          <t>DEADLINE LOG</t>
        </is>
      </c>
      <c r="D37" s="102" t="n"/>
    </row>
  </sheetData>
  <mergeCells count="5">
    <mergeCell ref="A4:B4"/>
    <mergeCell ref="A17:D17"/>
    <mergeCell ref="A2:H2"/>
    <mergeCell ref="A1:H1"/>
    <mergeCell ref="A28:D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86" min="1" max="1"/>
    <col width="18" customWidth="1" style="86" min="2" max="2"/>
    <col width="35" customWidth="1" style="86" min="3" max="3"/>
    <col width="12" customWidth="1" style="86" min="4" max="9"/>
    <col width="35" customWidth="1" style="86" min="10" max="10"/>
  </cols>
  <sheetData>
    <row r="1" ht="34.5" customHeight="1" s="87">
      <c r="A1" s="88" t="inlineStr">
        <is>
          <t>PARTICIPANTS ET PRESENCES - Rallye des Points Hauts 2026</t>
        </is>
      </c>
    </row>
    <row r="2" ht="15" customHeight="1" s="87">
      <c r="A2" s="106" t="inlineStr">
        <is>
          <t>Legende : O=Present, N=Absent, ?=Incertain | Repondre par email a F4GLD : f4gld@hotmail.fr</t>
        </is>
      </c>
    </row>
    <row r="3" ht="30" customHeight="1" s="87">
      <c r="A3" s="107" t="inlineStr">
        <is>
          <t>Indicatif</t>
        </is>
      </c>
      <c r="B3" s="107" t="inlineStr">
        <is>
          <t>Nom</t>
        </is>
      </c>
      <c r="C3" s="107" t="inlineStr">
        <is>
          <t>Materiel apporte</t>
        </is>
      </c>
      <c r="D3" s="107" t="inlineStr">
        <is>
          <t>Sam.Matin</t>
        </is>
      </c>
      <c r="E3" s="107" t="inlineStr">
        <is>
          <t>Sam.Midi</t>
        </is>
      </c>
      <c r="F3" s="107" t="inlineStr">
        <is>
          <t>Sam.Soir</t>
        </is>
      </c>
      <c r="G3" s="107" t="inlineStr">
        <is>
          <t>Dim.Matin</t>
        </is>
      </c>
      <c r="H3" s="107" t="inlineStr">
        <is>
          <t>Dim.Midi</t>
        </is>
      </c>
      <c r="I3" s="107" t="inlineStr">
        <is>
          <t>Garde Nuit</t>
        </is>
      </c>
      <c r="J3" s="107" t="inlineStr">
        <is>
          <t>Apport repas / commentaire</t>
        </is>
      </c>
    </row>
    <row r="4" ht="21.75" customHeight="1" s="87">
      <c r="A4" s="108" t="inlineStr">
        <is>
          <t>F4GLD</t>
        </is>
      </c>
      <c r="B4" s="109" t="inlineStr">
        <is>
          <t>Olivier Parriaux</t>
        </is>
      </c>
      <c r="C4" s="100" t="inlineStr">
        <is>
          <t>IC-9700 + cables + alim + lampe flexible</t>
        </is>
      </c>
      <c r="D4" s="110" t="inlineStr">
        <is>
          <t>O</t>
        </is>
      </c>
      <c r="E4" s="110" t="inlineStr">
        <is>
          <t>O</t>
        </is>
      </c>
      <c r="F4" s="110" t="inlineStr">
        <is>
          <t>O</t>
        </is>
      </c>
      <c r="G4" s="110" t="inlineStr">
        <is>
          <t>O</t>
        </is>
      </c>
      <c r="H4" s="110" t="inlineStr">
        <is>
          <t>O</t>
        </is>
      </c>
      <c r="I4" s="110" t="inlineStr">
        <is>
          <t>O</t>
        </is>
      </c>
      <c r="J4" s="100" t="inlineStr">
        <is>
          <t>Coordinateur, croissants du matin</t>
        </is>
      </c>
    </row>
    <row r="5" ht="21.75" customHeight="1" s="87">
      <c r="A5" s="108" t="inlineStr">
        <is>
          <t>F1OMQ</t>
        </is>
      </c>
      <c r="B5" s="109" t="inlineStr">
        <is>
          <t>Didier</t>
        </is>
      </c>
      <c r="C5" s="100" t="inlineStr">
        <is>
          <t>Shack mobile + amplis HP + antennes + cables</t>
        </is>
      </c>
      <c r="D5" s="110" t="inlineStr">
        <is>
          <t>O</t>
        </is>
      </c>
      <c r="E5" s="110" t="inlineStr">
        <is>
          <t>O</t>
        </is>
      </c>
      <c r="F5" s="110" t="inlineStr">
        <is>
          <t>O</t>
        </is>
      </c>
      <c r="G5" s="110" t="inlineStr">
        <is>
          <t>O</t>
        </is>
      </c>
      <c r="H5" s="110" t="inlineStr">
        <is>
          <t>O</t>
        </is>
      </c>
      <c r="I5" s="110" t="inlineStr">
        <is>
          <t>O</t>
        </is>
      </c>
      <c r="J5" s="100" t="n"/>
    </row>
    <row r="6" ht="21.75" customHeight="1" s="87">
      <c r="A6" s="108" t="inlineStr">
        <is>
          <t>F1HAW</t>
        </is>
      </c>
      <c r="B6" s="109" t="inlineStr">
        <is>
          <t>Jean</t>
        </is>
      </c>
      <c r="C6" s="100" t="inlineStr">
        <is>
          <t>Barnum+groupe electrogene+essence+caravane+tables+eclairage+ant.1.2GHz</t>
        </is>
      </c>
      <c r="D6" s="110" t="inlineStr">
        <is>
          <t>O</t>
        </is>
      </c>
      <c r="E6" s="110" t="inlineStr">
        <is>
          <t>O</t>
        </is>
      </c>
      <c r="F6" s="110" t="inlineStr">
        <is>
          <t>O</t>
        </is>
      </c>
      <c r="G6" s="110" t="inlineStr">
        <is>
          <t>O</t>
        </is>
      </c>
      <c r="H6" s="110" t="inlineStr">
        <is>
          <t>O</t>
        </is>
      </c>
      <c r="I6" s="110" t="inlineStr">
        <is>
          <t>O</t>
        </is>
      </c>
      <c r="J6" s="100" t="inlineStr">
        <is>
          <t>Plancha a gaz</t>
        </is>
      </c>
    </row>
    <row r="7" ht="21.75" customHeight="1" s="87">
      <c r="A7" s="108" t="inlineStr">
        <is>
          <t>F4ASS</t>
        </is>
      </c>
      <c r="B7" s="109" t="n"/>
      <c r="C7" s="100" t="inlineStr">
        <is>
          <t>Aide montage pylone</t>
        </is>
      </c>
      <c r="D7" s="110" t="inlineStr">
        <is>
          <t>O</t>
        </is>
      </c>
      <c r="E7" s="111" t="inlineStr">
        <is>
          <t>?</t>
        </is>
      </c>
      <c r="F7" s="111" t="inlineStr">
        <is>
          <t>?</t>
        </is>
      </c>
      <c r="G7" s="111" t="inlineStr">
        <is>
          <t>?</t>
        </is>
      </c>
      <c r="H7" s="111" t="inlineStr">
        <is>
          <t>?</t>
        </is>
      </c>
      <c r="I7" s="111" t="inlineStr">
        <is>
          <t>?</t>
        </is>
      </c>
      <c r="J7" s="100" t="n"/>
    </row>
    <row r="8" ht="21.75" customHeight="1" s="87">
      <c r="A8" s="108" t="inlineStr">
        <is>
          <t>F4WGK</t>
        </is>
      </c>
      <c r="B8" s="109" t="inlineStr">
        <is>
          <t>Stephane</t>
        </is>
      </c>
      <c r="C8" s="100" t="n"/>
      <c r="D8" s="111" t="inlineStr">
        <is>
          <t>?</t>
        </is>
      </c>
      <c r="E8" s="110" t="inlineStr">
        <is>
          <t>O</t>
        </is>
      </c>
      <c r="F8" s="110" t="inlineStr">
        <is>
          <t>O</t>
        </is>
      </c>
      <c r="G8" s="110" t="inlineStr">
        <is>
          <t>O</t>
        </is>
      </c>
      <c r="H8" s="110" t="inlineStr">
        <is>
          <t>O</t>
        </is>
      </c>
      <c r="I8" s="110" t="inlineStr">
        <is>
          <t>O</t>
        </is>
      </c>
      <c r="J8" s="100" t="inlineStr">
        <is>
          <t>Phonie DX anglais</t>
        </is>
      </c>
    </row>
    <row r="9" ht="21.75" customHeight="1" s="87">
      <c r="A9" s="108" t="inlineStr">
        <is>
          <t>Fille F1OMQ</t>
        </is>
      </c>
      <c r="B9" s="109" t="n"/>
      <c r="C9" s="100" t="n"/>
      <c r="D9" s="111" t="inlineStr">
        <is>
          <t>?</t>
        </is>
      </c>
      <c r="E9" s="110" t="inlineStr">
        <is>
          <t>O</t>
        </is>
      </c>
      <c r="F9" s="110" t="inlineStr">
        <is>
          <t>O</t>
        </is>
      </c>
      <c r="G9" s="111" t="inlineStr">
        <is>
          <t>?</t>
        </is>
      </c>
      <c r="H9" s="110" t="inlineStr">
        <is>
          <t>O</t>
        </is>
      </c>
      <c r="I9" s="111" t="inlineStr">
        <is>
          <t>?</t>
        </is>
      </c>
      <c r="J9" s="100" t="inlineStr">
        <is>
          <t>Operatrice phonie</t>
        </is>
      </c>
    </row>
    <row r="10" ht="21.75" customHeight="1" s="87">
      <c r="A10" s="108" t="inlineStr">
        <is>
          <t>F0GVQ</t>
        </is>
      </c>
      <c r="B10" s="109" t="n"/>
      <c r="C10" s="100" t="inlineStr">
        <is>
          <t>Rotor KR600 + cable</t>
        </is>
      </c>
      <c r="D10" s="111" t="inlineStr">
        <is>
          <t>?</t>
        </is>
      </c>
      <c r="E10" s="111" t="inlineStr">
        <is>
          <t>?</t>
        </is>
      </c>
      <c r="F10" s="111" t="inlineStr">
        <is>
          <t>?</t>
        </is>
      </c>
      <c r="G10" s="111" t="inlineStr">
        <is>
          <t>?</t>
        </is>
      </c>
      <c r="H10" s="111" t="inlineStr">
        <is>
          <t>?</t>
        </is>
      </c>
      <c r="I10" s="111" t="inlineStr">
        <is>
          <t>?</t>
        </is>
      </c>
      <c r="J10" s="100" t="inlineStr">
        <is>
          <t>A confirmer participation</t>
        </is>
      </c>
    </row>
    <row r="11" ht="21.75" customHeight="1" s="87">
      <c r="A11" s="108" t="inlineStr">
        <is>
          <t>F8AVM</t>
        </is>
      </c>
      <c r="B11" s="109" t="inlineStr">
        <is>
          <t>Patrick</t>
        </is>
      </c>
      <c r="C11" s="100" t="n"/>
      <c r="D11" s="111" t="inlineStr">
        <is>
          <t>?</t>
        </is>
      </c>
      <c r="E11" s="111" t="inlineStr">
        <is>
          <t>?</t>
        </is>
      </c>
      <c r="F11" s="111" t="inlineStr">
        <is>
          <t>?</t>
        </is>
      </c>
      <c r="G11" s="111" t="inlineStr">
        <is>
          <t>?</t>
        </is>
      </c>
      <c r="H11" s="111" t="inlineStr">
        <is>
          <t>?</t>
        </is>
      </c>
      <c r="I11" s="111" t="inlineStr">
        <is>
          <t>?</t>
        </is>
      </c>
      <c r="J11" s="100" t="inlineStr">
        <is>
          <t>Relais liste radio-club</t>
        </is>
      </c>
    </row>
    <row r="12" ht="21.75" customHeight="1" s="87">
      <c r="A12" s="108" t="inlineStr">
        <is>
          <t>F1UKZ</t>
        </is>
      </c>
      <c r="B12" s="109" t="n"/>
      <c r="C12" s="100" t="n"/>
      <c r="D12" s="111" t="inlineStr">
        <is>
          <t>?</t>
        </is>
      </c>
      <c r="E12" s="111" t="inlineStr">
        <is>
          <t>?</t>
        </is>
      </c>
      <c r="F12" s="111" t="inlineStr">
        <is>
          <t>?</t>
        </is>
      </c>
      <c r="G12" s="111" t="inlineStr">
        <is>
          <t>?</t>
        </is>
      </c>
      <c r="H12" s="111" t="inlineStr">
        <is>
          <t>?</t>
        </is>
      </c>
      <c r="I12" s="111" t="inlineStr">
        <is>
          <t>?</t>
        </is>
      </c>
      <c r="J12" s="100" t="inlineStr">
        <is>
          <t>A confirmer participation</t>
        </is>
      </c>
    </row>
    <row r="13" ht="21.75" customHeight="1" s="87">
      <c r="A13" s="108" t="n"/>
      <c r="B13" s="109" t="n"/>
      <c r="C13" s="100" t="n"/>
      <c r="D13" s="112" t="n"/>
      <c r="E13" s="112" t="n"/>
      <c r="F13" s="112" t="n"/>
      <c r="G13" s="112" t="n"/>
      <c r="H13" s="112" t="n"/>
      <c r="I13" s="112" t="n"/>
      <c r="J13" s="100" t="n"/>
    </row>
    <row r="14" ht="21.75" customHeight="1" s="87">
      <c r="A14" s="108" t="n"/>
      <c r="B14" s="109" t="n"/>
      <c r="C14" s="100" t="n"/>
      <c r="D14" s="113" t="n"/>
      <c r="E14" s="113" t="n"/>
      <c r="F14" s="113" t="n"/>
      <c r="G14" s="113" t="n"/>
      <c r="H14" s="113" t="n"/>
      <c r="I14" s="113" t="n"/>
      <c r="J14" s="100" t="n"/>
    </row>
    <row r="15" ht="21.75" customHeight="1" s="87">
      <c r="A15" s="92" t="inlineStr">
        <is>
          <t>TOTAUX</t>
        </is>
      </c>
      <c r="B15" s="114" t="n"/>
      <c r="C15" s="114" t="n"/>
      <c r="D15" s="115">
        <f>COUNTIF(D4:D15,"O")</f>
        <v/>
      </c>
      <c r="E15" s="115">
        <f>COUNTIF(E4:E15,"O")</f>
        <v/>
      </c>
      <c r="F15" s="115">
        <f>COUNTIF(F4:F15,"O")</f>
        <v/>
      </c>
      <c r="G15" s="115">
        <f>COUNTIF(G4:G15,"O")</f>
        <v/>
      </c>
      <c r="H15" s="115">
        <f>COUNTIF(H4:H15,"O")</f>
        <v/>
      </c>
      <c r="I15" s="115">
        <f>COUNTIF(I4:I15,"O")</f>
        <v/>
      </c>
    </row>
    <row r="16" ht="15" customHeight="1" s="87"/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86" min="1" max="1"/>
    <col width="38" customWidth="1" style="86" min="2" max="2"/>
    <col width="20" customWidth="1" style="86" min="3" max="3"/>
    <col width="8" customWidth="1" style="86" min="4" max="4"/>
    <col width="18" customWidth="1" style="86" min="5" max="5"/>
    <col width="12" customWidth="1" style="86" min="6" max="6"/>
    <col width="35" customWidth="1" style="86" min="7" max="7"/>
  </cols>
  <sheetData>
    <row r="1" ht="34.5" customHeight="1" s="87">
      <c r="A1" s="88" t="inlineStr">
        <is>
          <t>CHECK-LIST MATERIEL - Rallye des Points Hauts 2026</t>
        </is>
      </c>
    </row>
    <row r="2" ht="15" customHeight="1" s="87">
      <c r="A2" s="107" t="inlineStr">
        <is>
          <t>Categorie</t>
        </is>
      </c>
      <c r="B2" s="107" t="inlineStr">
        <is>
          <t>Article</t>
        </is>
      </c>
      <c r="C2" s="107" t="inlineStr">
        <is>
          <t>Responsable</t>
        </is>
      </c>
      <c r="D2" s="107" t="inlineStr">
        <is>
          <t>Qte</t>
        </is>
      </c>
      <c r="E2" s="107" t="inlineStr">
        <is>
          <t>Statut</t>
        </is>
      </c>
      <c r="F2" s="107" t="inlineStr">
        <is>
          <t>Pres. en 2024</t>
        </is>
      </c>
      <c r="G2" s="107" t="inlineStr">
        <is>
          <t>Remarques</t>
        </is>
      </c>
    </row>
    <row r="3" ht="18" customHeight="1" s="87">
      <c r="A3" s="116" t="inlineStr">
        <is>
          <t>INFRASTRUCTURE</t>
        </is>
      </c>
      <c r="B3" s="100" t="inlineStr">
        <is>
          <t>Remorque pylone F4GLD avec systeme de rotor</t>
        </is>
      </c>
      <c r="C3" s="117" t="inlineStr">
        <is>
          <t>F4ASS</t>
        </is>
      </c>
      <c r="D3" s="118" t="inlineStr">
        <is>
          <t>1</t>
        </is>
      </c>
      <c r="E3" s="103" t="inlineStr">
        <is>
          <t>A confirmer</t>
        </is>
      </c>
      <c r="F3" s="118" t="inlineStr">
        <is>
          <t>OUI (2024)</t>
        </is>
      </c>
      <c r="G3" s="100" t="inlineStr">
        <is>
          <t>Stocke chez F4GLD</t>
        </is>
      </c>
    </row>
    <row r="4" ht="18" customHeight="1" s="87">
      <c r="A4" s="116" t="inlineStr">
        <is>
          <t>INFRASTRUCTURE</t>
        </is>
      </c>
      <c r="B4" s="100" t="inlineStr">
        <is>
          <t>Barnum principal</t>
        </is>
      </c>
      <c r="C4" s="117" t="inlineStr">
        <is>
          <t>F1HAW</t>
        </is>
      </c>
      <c r="D4" s="118" t="inlineStr">
        <is>
          <t>1</t>
        </is>
      </c>
      <c r="E4" s="105" t="inlineStr">
        <is>
          <t>Confirme</t>
        </is>
      </c>
      <c r="F4" s="118" t="inlineStr">
        <is>
          <t>OUI (2024)</t>
        </is>
      </c>
      <c r="G4" s="100" t="inlineStr">
        <is>
          <t>F1HAW l'apporte depuis 2023</t>
        </is>
      </c>
    </row>
    <row r="5" ht="18" customHeight="1" s="87">
      <c r="A5" s="116" t="inlineStr">
        <is>
          <t>INFRASTRUCTURE</t>
        </is>
      </c>
      <c r="B5" s="100" t="inlineStr">
        <is>
          <t>Caravane (abri/poste de commandement)</t>
        </is>
      </c>
      <c r="C5" s="117" t="inlineStr">
        <is>
          <t>F1HAW</t>
        </is>
      </c>
      <c r="D5" s="118" t="inlineStr">
        <is>
          <t>1</t>
        </is>
      </c>
      <c r="E5" s="105" t="inlineStr">
        <is>
          <t>Confirme</t>
        </is>
      </c>
      <c r="F5" s="118" t="inlineStr">
        <is>
          <t>OUI (2024)</t>
        </is>
      </c>
      <c r="G5" s="100" t="inlineStr">
        <is>
          <t>Presence confirmee historique</t>
        </is>
      </c>
    </row>
    <row r="6" ht="18" customHeight="1" s="87">
      <c r="A6" s="116" t="inlineStr">
        <is>
          <t>INFRASTRUCTURE</t>
        </is>
      </c>
      <c r="B6" s="100" t="inlineStr">
        <is>
          <t>Tables pour TX radio (1,20 m)</t>
        </is>
      </c>
      <c r="C6" s="117" t="inlineStr">
        <is>
          <t>F1HAW</t>
        </is>
      </c>
      <c r="D6" s="118" t="inlineStr">
        <is>
          <t>2</t>
        </is>
      </c>
      <c r="E6" s="105" t="inlineStr">
        <is>
          <t>Confirme</t>
        </is>
      </c>
      <c r="F6" s="118" t="inlineStr">
        <is>
          <t>OUI (2024)</t>
        </is>
      </c>
      <c r="G6" s="100" t="inlineStr">
        <is>
          <t>Tables specifiques pour le materiel</t>
        </is>
      </c>
    </row>
    <row r="7" ht="18" customHeight="1" s="87">
      <c r="A7" s="116" t="inlineStr">
        <is>
          <t>INFRASTRUCTURE</t>
        </is>
      </c>
      <c r="B7" s="100" t="inlineStr">
        <is>
          <t>Tables convivialite pliantes</t>
        </is>
      </c>
      <c r="C7" s="117" t="inlineStr">
        <is>
          <t>F1HAW + autres</t>
        </is>
      </c>
      <c r="D7" s="118" t="inlineStr">
        <is>
          <t>2+</t>
        </is>
      </c>
      <c r="E7" s="103" t="inlineStr">
        <is>
          <t>A confirmer</t>
        </is>
      </c>
      <c r="F7" s="118" t="inlineStr">
        <is>
          <t>OUI (2024)</t>
        </is>
      </c>
      <c r="G7" s="100" t="inlineStr">
        <is>
          <t>Minimum 2 en plus des tables TX</t>
        </is>
      </c>
    </row>
    <row r="8" ht="18" customHeight="1" s="87">
      <c r="A8" s="116" t="inlineStr">
        <is>
          <t>INFRASTRUCTURE</t>
        </is>
      </c>
      <c r="B8" s="100" t="inlineStr">
        <is>
          <t>Chaises pliantes</t>
        </is>
      </c>
      <c r="C8" s="117" t="inlineStr">
        <is>
          <t>F1HAW (6) + chaque participant</t>
        </is>
      </c>
      <c r="D8" s="118" t="inlineStr">
        <is>
          <t>10+</t>
        </is>
      </c>
      <c r="E8" s="119" t="inlineStr">
        <is>
          <t>Chacun</t>
        </is>
      </c>
      <c r="F8" s="118" t="inlineStr">
        <is>
          <t>OUI (2024)</t>
        </is>
      </c>
      <c r="G8" s="100" t="inlineStr">
        <is>
          <t>F1HAW: 6 chaises + chaque participant</t>
        </is>
      </c>
    </row>
    <row r="9" ht="18" customHeight="1" s="87">
      <c r="A9" s="120" t="inlineStr">
        <is>
          <t>ENERGIE</t>
        </is>
      </c>
      <c r="B9" s="100" t="inlineStr">
        <is>
          <t>Groupe electrogene</t>
        </is>
      </c>
      <c r="C9" s="117" t="inlineStr">
        <is>
          <t>F1HAW</t>
        </is>
      </c>
      <c r="D9" s="118" t="inlineStr">
        <is>
          <t>1</t>
        </is>
      </c>
      <c r="E9" s="103" t="inlineStr">
        <is>
          <t>A tester</t>
        </is>
      </c>
      <c r="F9" s="118" t="inlineStr">
        <is>
          <t>OUI (2024)</t>
        </is>
      </c>
      <c r="G9" s="100" t="inlineStr">
        <is>
          <t>Tester en juin - mesurer consommation</t>
        </is>
      </c>
    </row>
    <row r="10" ht="18" customHeight="1" s="87">
      <c r="A10" s="120" t="inlineStr">
        <is>
          <t>ENERGIE</t>
        </is>
      </c>
      <c r="B10" s="100" t="inlineStr">
        <is>
          <t>Jerricanes essence 20 L</t>
        </is>
      </c>
      <c r="C10" s="117" t="inlineStr">
        <is>
          <t>F1HAW / F4GLD</t>
        </is>
      </c>
      <c r="D10" s="118" t="inlineStr">
        <is>
          <t>2 min</t>
        </is>
      </c>
      <c r="E10" s="103" t="inlineStr">
        <is>
          <t>A commander</t>
        </is>
      </c>
      <c r="F10" s="118" t="inlineStr">
        <is>
          <t>OUI (2024)</t>
        </is>
      </c>
      <c r="G10" s="100" t="inlineStr">
        <is>
          <t>Selon test consommation en juin</t>
        </is>
      </c>
    </row>
    <row r="11" ht="18" customHeight="1" s="87">
      <c r="A11" s="120" t="inlineStr">
        <is>
          <t>ENERGIE</t>
        </is>
      </c>
      <c r="B11" s="100" t="inlineStr">
        <is>
          <t>Rallonge secteur 50 METRES</t>
        </is>
      </c>
      <c r="C11" s="117" t="inlineStr">
        <is>
          <t>A designer</t>
        </is>
      </c>
      <c r="D11" s="118" t="inlineStr">
        <is>
          <t>1</t>
        </is>
      </c>
      <c r="E11" s="103" t="inlineStr">
        <is>
          <t>A confirmer</t>
        </is>
      </c>
      <c r="F11" s="118" t="inlineStr">
        <is>
          <t>OUI 2024</t>
        </is>
      </c>
      <c r="G11" s="100" t="inlineStr">
        <is>
          <t>50m (pas 25m) pour eloigner bruit groupe</t>
        </is>
      </c>
    </row>
    <row r="12" ht="18" customHeight="1" s="87">
      <c r="A12" s="120" t="inlineStr">
        <is>
          <t>ENERGIE</t>
        </is>
      </c>
      <c r="B12" s="100" t="inlineStr">
        <is>
          <t>Prise terre au groupe electrogene</t>
        </is>
      </c>
      <c r="C12" s="117" t="inlineStr">
        <is>
          <t>F1HAW</t>
        </is>
      </c>
      <c r="D12" s="118" t="inlineStr">
        <is>
          <t>1</t>
        </is>
      </c>
      <c r="E12" s="119" t="inlineStr">
        <is>
          <t>A prevoir</t>
        </is>
      </c>
      <c r="F12" s="118" t="inlineStr">
        <is>
          <t>OUI (2024)</t>
        </is>
      </c>
      <c r="G12" s="100" t="inlineStr">
        <is>
          <t>IMPORTANT pour qualite signal radio</t>
        </is>
      </c>
    </row>
    <row r="13" ht="18" customHeight="1" s="87">
      <c r="A13" s="120" t="inlineStr">
        <is>
          <t>ENERGIE</t>
        </is>
      </c>
      <c r="B13" s="100" t="inlineStr">
        <is>
          <t>Multiprises + parafoudre</t>
        </is>
      </c>
      <c r="C13" s="117" t="inlineStr">
        <is>
          <t>F4GLD</t>
        </is>
      </c>
      <c r="D13" s="118" t="inlineStr">
        <is>
          <t>2</t>
        </is>
      </c>
      <c r="E13" s="119" t="inlineStr">
        <is>
          <t>A prevoir</t>
        </is>
      </c>
      <c r="F13" s="118" t="inlineStr">
        <is>
          <t>?</t>
        </is>
      </c>
      <c r="G13" s="100" t="inlineStr">
        <is>
          <t>2 multiprises minimum</t>
        </is>
      </c>
    </row>
    <row r="14" ht="18" customHeight="1" s="87">
      <c r="A14" s="121" t="inlineStr">
        <is>
          <t>RADIO</t>
        </is>
      </c>
      <c r="B14" s="100" t="inlineStr">
        <is>
          <t>Poste Icom IC-9700 #1 (144 MHz)</t>
        </is>
      </c>
      <c r="C14" s="117" t="inlineStr">
        <is>
          <t>F4GLD</t>
        </is>
      </c>
      <c r="D14" s="118" t="inlineStr">
        <is>
          <t>1</t>
        </is>
      </c>
      <c r="E14" s="103" t="inlineStr">
        <is>
          <t>A confirmer</t>
        </is>
      </c>
      <c r="F14" s="118" t="inlineStr">
        <is>
          <t>OUI (2024)</t>
        </is>
      </c>
      <c r="G14" s="100" t="inlineStr">
        <is>
          <t>2 postes IC-9700 en 2024</t>
        </is>
      </c>
    </row>
    <row r="15" ht="18" customHeight="1" s="87">
      <c r="A15" s="121" t="inlineStr">
        <is>
          <t>RADIO</t>
        </is>
      </c>
      <c r="B15" s="100" t="inlineStr">
        <is>
          <t>Poste Icom IC-9700 #2 (432 MHz)</t>
        </is>
      </c>
      <c r="C15" s="117" t="inlineStr">
        <is>
          <t>F4GLD ou F1OMQ</t>
        </is>
      </c>
      <c r="D15" s="118" t="inlineStr">
        <is>
          <t>1</t>
        </is>
      </c>
      <c r="E15" s="103" t="inlineStr">
        <is>
          <t>A confirmer</t>
        </is>
      </c>
      <c r="F15" s="118" t="inlineStr">
        <is>
          <t>OUI (2024)</t>
        </is>
      </c>
      <c r="G15" s="100" t="inlineStr">
        <is>
          <t>Confirmer qui apporte lequel</t>
        </is>
      </c>
    </row>
    <row r="16" ht="18" customHeight="1" s="87">
      <c r="A16" s="121" t="inlineStr">
        <is>
          <t>RADIO</t>
        </is>
      </c>
      <c r="B16" s="100" t="inlineStr">
        <is>
          <t>Shack mobile + amplis HP</t>
        </is>
      </c>
      <c r="C16" s="117" t="inlineStr">
        <is>
          <t>F1OMQ</t>
        </is>
      </c>
      <c r="D16" s="118" t="inlineStr">
        <is>
          <t>1</t>
        </is>
      </c>
      <c r="E16" s="105" t="inlineStr">
        <is>
          <t>Confirme</t>
        </is>
      </c>
      <c r="F16" s="118" t="inlineStr">
        <is>
          <t>OUI (2024)</t>
        </is>
      </c>
      <c r="G16" s="100" t="inlineStr">
        <is>
          <t>Vehicule shack de F1OMQ</t>
        </is>
      </c>
    </row>
    <row r="17" ht="18" customHeight="1" s="87">
      <c r="A17" s="121" t="inlineStr">
        <is>
          <t>RADIO</t>
        </is>
      </c>
      <c r="B17" s="100" t="inlineStr">
        <is>
          <t>Antenne 144 MHz</t>
        </is>
      </c>
      <c r="C17" s="117" t="inlineStr">
        <is>
          <t>F1OMQ</t>
        </is>
      </c>
      <c r="D17" s="118" t="inlineStr">
        <is>
          <t>1 set</t>
        </is>
      </c>
      <c r="E17" s="103" t="inlineStr">
        <is>
          <t>A reviser juin</t>
        </is>
      </c>
      <c r="F17" s="118" t="inlineStr">
        <is>
          <t>OUI (2024)</t>
        </is>
      </c>
      <c r="G17" s="100" t="inlineStr">
        <is>
          <t>Revision obligatoire en juin</t>
        </is>
      </c>
    </row>
    <row r="18" ht="18" customHeight="1" s="87">
      <c r="A18" s="121" t="inlineStr">
        <is>
          <t>RADIO</t>
        </is>
      </c>
      <c r="B18" s="100" t="inlineStr">
        <is>
          <t>Antenne 432 MHz</t>
        </is>
      </c>
      <c r="C18" s="117" t="inlineStr">
        <is>
          <t>F1OMQ</t>
        </is>
      </c>
      <c r="D18" s="118" t="inlineStr">
        <is>
          <t>1 set</t>
        </is>
      </c>
      <c r="E18" s="103" t="inlineStr">
        <is>
          <t>A reviser juin</t>
        </is>
      </c>
      <c r="F18" s="118" t="inlineStr">
        <is>
          <t>OUI (2024)</t>
        </is>
      </c>
      <c r="G18" s="100" t="inlineStr">
        <is>
          <t>Revision obligatoire en juin</t>
        </is>
      </c>
    </row>
    <row r="19" ht="18" customHeight="1" s="87">
      <c r="A19" s="121" t="inlineStr">
        <is>
          <t>RADIO</t>
        </is>
      </c>
      <c r="B19" s="100" t="inlineStr">
        <is>
          <t>Antenne 55 elements 1,2 GHz</t>
        </is>
      </c>
      <c r="C19" s="117" t="inlineStr">
        <is>
          <t>F1HAW</t>
        </is>
      </c>
      <c r="D19" s="118" t="inlineStr">
        <is>
          <t>1</t>
        </is>
      </c>
      <c r="E19" s="122" t="inlineStr">
        <is>
          <t>Optionnel</t>
        </is>
      </c>
      <c r="F19" s="118" t="inlineStr">
        <is>
          <t>OUI (2024)</t>
        </is>
      </c>
      <c r="G19" s="100" t="inlineStr">
        <is>
          <t>Presente sur site, non utilisee en contest</t>
        </is>
      </c>
    </row>
    <row r="20" ht="18" customHeight="1" s="87">
      <c r="A20" s="121" t="inlineStr">
        <is>
          <t>RADIO</t>
        </is>
      </c>
      <c r="B20" s="100" t="inlineStr">
        <is>
          <t>Cables coaxiaux + connectique</t>
        </is>
      </c>
      <c r="C20" s="117" t="inlineStr">
        <is>
          <t>F1OMQ</t>
        </is>
      </c>
      <c r="D20" s="118" t="inlineStr">
        <is>
          <t>Complet</t>
        </is>
      </c>
      <c r="E20" s="103" t="inlineStr">
        <is>
          <t>A reviser juin</t>
        </is>
      </c>
      <c r="F20" s="118" t="inlineStr">
        <is>
          <t>OUI (2024)</t>
        </is>
      </c>
      <c r="G20" s="100" t="inlineStr">
        <is>
          <t>Revision obligatoire en juin</t>
        </is>
      </c>
    </row>
    <row r="21" ht="18" customHeight="1" s="87">
      <c r="A21" s="121" t="inlineStr">
        <is>
          <t>RADIO</t>
        </is>
      </c>
      <c r="B21" s="100" t="inlineStr">
        <is>
          <t>Rotor KR600 + cable</t>
        </is>
      </c>
      <c r="C21" s="117" t="inlineStr">
        <is>
          <t>F0GVQ</t>
        </is>
      </c>
      <c r="D21" s="118" t="inlineStr">
        <is>
          <t>1</t>
        </is>
      </c>
      <c r="E21" s="103" t="inlineStr">
        <is>
          <t>A confirmer</t>
        </is>
      </c>
      <c r="F21" s="118" t="inlineStr">
        <is>
          <t>OUI (2024)</t>
        </is>
      </c>
      <c r="G21" s="100" t="inlineStr">
        <is>
          <t>Si F0GVQ participe</t>
        </is>
      </c>
    </row>
    <row r="22" ht="18" customHeight="1" s="87">
      <c r="A22" s="123" t="inlineStr">
        <is>
          <t>INFORMATIQUE</t>
        </is>
      </c>
      <c r="B22" s="100" t="inlineStr">
        <is>
          <t>PC log + logiciel REG1TEST</t>
        </is>
      </c>
      <c r="C22" s="117" t="inlineStr">
        <is>
          <t>F4GLD</t>
        </is>
      </c>
      <c r="D22" s="118" t="inlineStr">
        <is>
          <t>1</t>
        </is>
      </c>
      <c r="E22" s="103" t="inlineStr">
        <is>
          <t>A configurer</t>
        </is>
      </c>
      <c r="F22" s="118" t="inlineStr">
        <is>
          <t>OUI (2024)</t>
        </is>
      </c>
      <c r="G22" s="100" t="inlineStr">
        <is>
          <t>Configurer 2 logs separes: 144 + 432 MHz</t>
        </is>
      </c>
    </row>
    <row r="23" ht="18" customHeight="1" s="87">
      <c r="A23" s="123" t="inlineStr">
        <is>
          <t>INFORMATIQUE</t>
        </is>
      </c>
      <c r="B23" s="100" t="inlineStr">
        <is>
          <t>GPS / boussole orientation antennes</t>
        </is>
      </c>
      <c r="C23" s="117" t="inlineStr">
        <is>
          <t>F4GLD</t>
        </is>
      </c>
      <c r="D23" s="118" t="inlineStr">
        <is>
          <t>1</t>
        </is>
      </c>
      <c r="E23" s="119" t="inlineStr">
        <is>
          <t>A prevoir</t>
        </is>
      </c>
      <c r="F23" s="118" t="inlineStr">
        <is>
          <t>?</t>
        </is>
      </c>
      <c r="G23" s="100" t="inlineStr">
        <is>
          <t>Pour orienter antennes sur nouveau site</t>
        </is>
      </c>
    </row>
    <row r="24" ht="18" customHeight="1" s="87">
      <c r="A24" s="123" t="inlineStr">
        <is>
          <t>INFORMATIQUE</t>
        </is>
      </c>
      <c r="B24" s="100" t="inlineStr">
        <is>
          <t>Wattmetre + analyseur antennes</t>
        </is>
      </c>
      <c r="C24" s="117" t="inlineStr">
        <is>
          <t>F1OMQ / F4GLD</t>
        </is>
      </c>
      <c r="D24" s="118" t="inlineStr">
        <is>
          <t>1</t>
        </is>
      </c>
      <c r="E24" s="119" t="inlineStr">
        <is>
          <t>A prevoir</t>
        </is>
      </c>
      <c r="F24" s="118" t="inlineStr">
        <is>
          <t>?</t>
        </is>
      </c>
      <c r="G24" s="100" t="inlineStr">
        <is>
          <t>Test SWR avant debut contest</t>
        </is>
      </c>
    </row>
    <row r="25" ht="18" customHeight="1" s="87">
      <c r="A25" s="124" t="inlineStr">
        <is>
          <t>ECLAIRAGE</t>
        </is>
      </c>
      <c r="B25" s="100" t="inlineStr">
        <is>
          <t>Projecteur LED</t>
        </is>
      </c>
      <c r="C25" s="117" t="inlineStr">
        <is>
          <t>A designer</t>
        </is>
      </c>
      <c r="D25" s="118" t="inlineStr">
        <is>
          <t>1+</t>
        </is>
      </c>
      <c r="E25" s="103" t="inlineStr">
        <is>
          <t>A confirmer</t>
        </is>
      </c>
      <c r="F25" s="118" t="inlineStr">
        <is>
          <t>OUI (2024)</t>
        </is>
      </c>
      <c r="G25" s="100" t="n"/>
    </row>
    <row r="26" ht="18" customHeight="1" s="87">
      <c r="A26" s="124" t="inlineStr">
        <is>
          <t>ECLAIRAGE</t>
        </is>
      </c>
      <c r="B26" s="100" t="inlineStr">
        <is>
          <t>Lampe flexible</t>
        </is>
      </c>
      <c r="C26" s="117" t="inlineStr">
        <is>
          <t>F4GLD</t>
        </is>
      </c>
      <c r="D26" s="118" t="inlineStr">
        <is>
          <t>1</t>
        </is>
      </c>
      <c r="E26" s="105" t="inlineStr">
        <is>
          <t>Confirme</t>
        </is>
      </c>
      <c r="F26" s="118" t="inlineStr">
        <is>
          <t>OUI (2024)</t>
        </is>
      </c>
      <c r="G26" s="100" t="inlineStr">
        <is>
          <t>F4GLD: lampe flexible sur poste</t>
        </is>
      </c>
    </row>
    <row r="27" ht="18" customHeight="1" s="87">
      <c r="A27" s="124" t="inlineStr">
        <is>
          <t>ECLAIRAGE</t>
        </is>
      </c>
      <c r="B27" s="100" t="inlineStr">
        <is>
          <t>Lampes frontales</t>
        </is>
      </c>
      <c r="C27" s="117" t="inlineStr">
        <is>
          <t>Chaque participant</t>
        </is>
      </c>
      <c r="D27" s="118" t="inlineStr">
        <is>
          <t>12</t>
        </is>
      </c>
      <c r="E27" s="104" t="inlineStr">
        <is>
          <t>Individuel</t>
        </is>
      </c>
      <c r="F27" s="118" t="inlineStr">
        <is>
          <t>OUI</t>
        </is>
      </c>
      <c r="G27" s="100" t="inlineStr">
        <is>
          <t>Indispensable pour la nuit</t>
        </is>
      </c>
    </row>
    <row r="28" ht="18" customHeight="1" s="87">
      <c r="A28" s="125" t="inlineStr">
        <is>
          <t>SECURITE</t>
        </is>
      </c>
      <c r="B28" s="100" t="inlineStr">
        <is>
          <t>Extincteur CO2</t>
        </is>
      </c>
      <c r="C28" s="117" t="inlineStr">
        <is>
          <t>F4GLD</t>
        </is>
      </c>
      <c r="D28" s="118" t="inlineStr">
        <is>
          <t>1</t>
        </is>
      </c>
      <c r="E28" s="119" t="inlineStr">
        <is>
          <t>A prevoir</t>
        </is>
      </c>
      <c r="F28" s="118" t="inlineStr">
        <is>
          <t>?</t>
        </is>
      </c>
      <c r="G28" s="100" t="inlineStr">
        <is>
          <t>Pres du groupe electrogene</t>
        </is>
      </c>
    </row>
    <row r="29" ht="18" customHeight="1" s="87">
      <c r="A29" s="125" t="inlineStr">
        <is>
          <t>SECURITE</t>
        </is>
      </c>
      <c r="B29" s="100" t="inlineStr">
        <is>
          <t>Trousse premiers secours</t>
        </is>
      </c>
      <c r="C29" s="117" t="inlineStr">
        <is>
          <t>F4GLD</t>
        </is>
      </c>
      <c r="D29" s="118" t="inlineStr">
        <is>
          <t>1</t>
        </is>
      </c>
      <c r="E29" s="119" t="inlineStr">
        <is>
          <t>A prevoir</t>
        </is>
      </c>
      <c r="F29" s="118" t="inlineStr">
        <is>
          <t>?</t>
        </is>
      </c>
      <c r="G29" s="100" t="inlineStr">
        <is>
          <t>Numeros urgence affiches: 15/18/112</t>
        </is>
      </c>
    </row>
    <row r="30" ht="18" customHeight="1" s="87">
      <c r="A30" s="126" t="inlineStr">
        <is>
          <t>INTENDANCE</t>
        </is>
      </c>
      <c r="B30" s="100" t="inlineStr">
        <is>
          <t>Plancha a gaz + bonbonne</t>
        </is>
      </c>
      <c r="C30" s="117" t="inlineStr">
        <is>
          <t>F1HAW</t>
        </is>
      </c>
      <c r="D30" s="118" t="inlineStr">
        <is>
          <t>1</t>
        </is>
      </c>
      <c r="E30" s="105" t="inlineStr">
        <is>
          <t>Confirme</t>
        </is>
      </c>
      <c r="F30" s="118" t="inlineStr">
        <is>
          <t>OUI (2023/24)</t>
        </is>
      </c>
      <c r="G30" s="100" t="inlineStr">
        <is>
          <t>Tradition du club - remplace barbecue charbon</t>
        </is>
      </c>
    </row>
    <row r="31" ht="18" customHeight="1" s="87">
      <c r="A31" s="126" t="inlineStr">
        <is>
          <t>INTENDANCE</t>
        </is>
      </c>
      <c r="B31" s="100" t="inlineStr">
        <is>
          <t>Glacieres</t>
        </is>
      </c>
      <c r="C31" s="117" t="inlineStr">
        <is>
          <t>A repartir</t>
        </is>
      </c>
      <c r="D31" s="118" t="inlineStr">
        <is>
          <t>3+</t>
        </is>
      </c>
      <c r="E31" s="119" t="inlineStr">
        <is>
          <t>Chacun</t>
        </is>
      </c>
      <c r="F31" s="118" t="inlineStr">
        <is>
          <t>OUI</t>
        </is>
      </c>
      <c r="G31" s="100" t="inlineStr">
        <is>
          <t>Multiplier les pains de glace - fort soleil</t>
        </is>
      </c>
    </row>
    <row r="32" ht="18" customHeight="1" s="87">
      <c r="A32" s="126" t="inlineStr">
        <is>
          <t>INTENDANCE</t>
        </is>
      </c>
      <c r="B32" s="100" t="inlineStr">
        <is>
          <t>Eau potable (40 L minimum)</t>
        </is>
      </c>
      <c r="C32" s="117" t="inlineStr">
        <is>
          <t>A repartir</t>
        </is>
      </c>
      <c r="D32" s="118" t="inlineStr">
        <is>
          <t>40 L+</t>
        </is>
      </c>
      <c r="E32" s="127" t="inlineStr">
        <is>
          <t>CRITIQUE</t>
        </is>
      </c>
      <c r="F32" s="118" t="inlineStr">
        <is>
          <t>OUI</t>
        </is>
      </c>
      <c r="G32" s="100" t="inlineStr">
        <is>
          <t>2 L/pers./jour - aucun point eau sur site</t>
        </is>
      </c>
    </row>
    <row r="33" ht="18" customHeight="1" s="87">
      <c r="A33" s="126" t="inlineStr">
        <is>
          <t>INTENDANCE</t>
        </is>
      </c>
      <c r="B33" s="100" t="inlineStr">
        <is>
          <t>Cafe + machine ou thermos</t>
        </is>
      </c>
      <c r="C33" s="117" t="inlineStr">
        <is>
          <t>A designer</t>
        </is>
      </c>
      <c r="D33" s="118" t="inlineStr">
        <is>
          <t>1</t>
        </is>
      </c>
      <c r="E33" s="103" t="inlineStr">
        <is>
          <t>A confirmer</t>
        </is>
      </c>
      <c r="F33" s="118" t="inlineStr">
        <is>
          <t>OUI</t>
        </is>
      </c>
      <c r="G33" s="100" t="inlineStr">
        <is>
          <t>Indispensable nuit et matin</t>
        </is>
      </c>
    </row>
    <row r="34" ht="18" customHeight="1" s="87">
      <c r="A34" s="126" t="inlineStr">
        <is>
          <t>INTENDANCE</t>
        </is>
      </c>
      <c r="B34" s="100" t="inlineStr">
        <is>
          <t>Nourriture partagee</t>
        </is>
      </c>
      <c r="C34" s="117" t="inlineStr">
        <is>
          <t>Chaque participant</t>
        </is>
      </c>
      <c r="D34" s="118" t="n"/>
      <c r="E34" s="104" t="inlineStr">
        <is>
          <t>Individuel</t>
        </is>
      </c>
      <c r="F34" s="118" t="inlineStr">
        <is>
          <t>OUI</t>
        </is>
      </c>
      <c r="G34" s="100" t="inlineStr">
        <is>
          <t>Auberge espagnole</t>
        </is>
      </c>
    </row>
    <row r="35" ht="18" customHeight="1" s="87">
      <c r="A35" s="126" t="inlineStr">
        <is>
          <t>INTENDANCE</t>
        </is>
      </c>
      <c r="B35" s="100" t="inlineStr">
        <is>
          <t>Vaisselle individuelle non jetable</t>
        </is>
      </c>
      <c r="C35" s="117" t="inlineStr">
        <is>
          <t>Chaque participant</t>
        </is>
      </c>
      <c r="D35" s="118" t="n"/>
      <c r="E35" s="119" t="inlineStr">
        <is>
          <t>Obligatoire</t>
        </is>
      </c>
      <c r="F35" s="118" t="inlineStr">
        <is>
          <t>OUI</t>
        </is>
      </c>
      <c r="G35" s="100" t="inlineStr">
        <is>
          <t>Assiette+couverts+gobelet+couteau</t>
        </is>
      </c>
    </row>
    <row r="36" ht="18" customHeight="1" s="87">
      <c r="A36" s="126" t="inlineStr">
        <is>
          <t>INTENDANCE</t>
        </is>
      </c>
      <c r="B36" s="100" t="inlineStr">
        <is>
          <t>Sacs poubelle grand format</t>
        </is>
      </c>
      <c r="C36" s="117" t="inlineStr">
        <is>
          <t>F4GLD</t>
        </is>
      </c>
      <c r="D36" s="118" t="inlineStr">
        <is>
          <t>10+</t>
        </is>
      </c>
      <c r="E36" s="119" t="inlineStr">
        <is>
          <t>A prevoir</t>
        </is>
      </c>
      <c r="F36" s="118" t="inlineStr">
        <is>
          <t>OUI</t>
        </is>
      </c>
      <c r="G36" s="100" t="inlineStr">
        <is>
          <t>Site a laisser impeccable</t>
        </is>
      </c>
    </row>
    <row r="37" ht="18" customHeight="1" s="87">
      <c r="A37" s="128" t="inlineStr">
        <is>
          <t>COUCHAGE</t>
        </is>
      </c>
      <c r="B37" s="100" t="inlineStr">
        <is>
          <t>Tente ou duvet (veilleurs de nuit)</t>
        </is>
      </c>
      <c r="C37" s="117" t="inlineStr">
        <is>
          <t>Chaque veilleur</t>
        </is>
      </c>
      <c r="D37" s="118" t="inlineStr">
        <is>
          <t>4+</t>
        </is>
      </c>
      <c r="E37" s="104" t="inlineStr">
        <is>
          <t>Individuel</t>
        </is>
      </c>
      <c r="F37" s="118" t="inlineStr">
        <is>
          <t>OUI</t>
        </is>
      </c>
      <c r="G37" s="100" t="inlineStr">
        <is>
          <t>Nuit a la belle etoile ou sous tente</t>
        </is>
      </c>
    </row>
    <row r="38" ht="18" customHeight="1" s="87">
      <c r="A38" s="128" t="inlineStr">
        <is>
          <t>COUCHAGE</t>
        </is>
      </c>
      <c r="B38" s="100" t="inlineStr">
        <is>
          <t>Matelas ou isolant de sol</t>
        </is>
      </c>
      <c r="C38" s="117" t="inlineStr">
        <is>
          <t>Chaque veilleur</t>
        </is>
      </c>
      <c r="D38" s="118" t="inlineStr">
        <is>
          <t>4+</t>
        </is>
      </c>
      <c r="E38" s="104" t="inlineStr">
        <is>
          <t>Individuel</t>
        </is>
      </c>
      <c r="F38" s="118" t="inlineStr">
        <is>
          <t>?</t>
        </is>
      </c>
      <c r="G38" s="100" t="inlineStr">
        <is>
          <t>Pour les veilleurs</t>
        </is>
      </c>
    </row>
    <row r="39" ht="18" customHeight="1" s="87">
      <c r="A39" s="128" t="inlineStr">
        <is>
          <t>COUCHAGE</t>
        </is>
      </c>
      <c r="B39" s="100" t="inlineStr">
        <is>
          <t>Creme solaire + chapeaux</t>
        </is>
      </c>
      <c r="C39" s="117" t="inlineStr">
        <is>
          <t>Chaque participant</t>
        </is>
      </c>
      <c r="D39" s="118" t="n"/>
      <c r="E39" s="104" t="inlineStr">
        <is>
          <t>Individuel</t>
        </is>
      </c>
      <c r="F39" s="118" t="inlineStr">
        <is>
          <t>OUI</t>
        </is>
      </c>
      <c r="G39" s="100" t="inlineStr">
        <is>
          <t>Fort ensoleillement en altitude</t>
        </is>
      </c>
    </row>
    <row r="40" ht="18" customHeight="1" s="87">
      <c r="A40" s="129" t="inlineStr">
        <is>
          <t>ACTIVITES</t>
        </is>
      </c>
      <c r="B40" s="100" t="inlineStr">
        <is>
          <t>Recepteur 121,375 MHz + antenne</t>
        </is>
      </c>
      <c r="C40" s="117" t="inlineStr">
        <is>
          <t>F4GLD / ADRASEC</t>
        </is>
      </c>
      <c r="D40" s="118" t="inlineStr">
        <is>
          <t>1 set</t>
        </is>
      </c>
      <c r="E40" s="119" t="inlineStr">
        <is>
          <t>A prevoir</t>
        </is>
      </c>
      <c r="F40" s="118" t="inlineStr">
        <is>
          <t>OUI (2024)</t>
        </is>
      </c>
      <c r="G40" s="100" t="inlineStr">
        <is>
          <t>Balise radioreperage ADRASEC 43</t>
        </is>
      </c>
    </row>
    <row r="41" ht="18" customHeight="1" s="87">
      <c r="A41" s="129" t="inlineStr">
        <is>
          <t>ACTIVITES</t>
        </is>
      </c>
      <c r="B41" s="100" t="inlineStr">
        <is>
          <t>Equipement MESHSTATIC</t>
        </is>
      </c>
      <c r="C41" s="117" t="inlineStr">
        <is>
          <t>F4GLD</t>
        </is>
      </c>
      <c r="D41" s="118" t="inlineStr">
        <is>
          <t>1 set</t>
        </is>
      </c>
      <c r="E41" s="105" t="inlineStr">
        <is>
          <t>Confirme</t>
        </is>
      </c>
      <c r="F41" s="118" t="inlineStr">
        <is>
          <t>OUI (2024)</t>
        </is>
      </c>
      <c r="G41" s="100" t="inlineStr">
        <is>
          <t>Reseau mesh - demonstration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86" min="1" max="1"/>
    <col width="14" customWidth="1" style="86" min="2" max="2"/>
    <col width="12" customWidth="1" style="86" min="3" max="3"/>
    <col width="52" customWidth="1" style="86" min="4" max="4"/>
    <col width="28" customWidth="1" style="86" min="5" max="5"/>
    <col width="16" customWidth="1" style="86" min="6" max="6"/>
  </cols>
  <sheetData>
    <row r="1" ht="34.5" customHeight="1" s="87">
      <c r="A1" s="88" t="inlineStr">
        <is>
          <t>PLANNING DETAILLE - Rallye des Points Hauts 2026</t>
        </is>
      </c>
    </row>
    <row r="2" ht="15" customHeight="1" s="87">
      <c r="A2" s="130" t="inlineStr">
        <is>
          <t>Date</t>
        </is>
      </c>
      <c r="B2" s="130" t="inlineStr">
        <is>
          <t>Heure locale</t>
        </is>
      </c>
      <c r="C2" s="130" t="inlineStr">
        <is>
          <t>Heure UTC</t>
        </is>
      </c>
      <c r="D2" s="130" t="inlineStr">
        <is>
          <t>Action</t>
        </is>
      </c>
      <c r="E2" s="130" t="inlineStr">
        <is>
          <t>Responsable(s)</t>
        </is>
      </c>
      <c r="F2" s="130" t="inlineStr">
        <is>
          <t>Statut</t>
        </is>
      </c>
    </row>
    <row r="3" ht="21.75" customHeight="1" s="87">
      <c r="A3" s="125" t="inlineStr">
        <is>
          <t>Avant 30 juin</t>
        </is>
      </c>
      <c r="B3" s="131" t="inlineStr">
        <is>
          <t>A definir</t>
        </is>
      </c>
      <c r="C3" s="132" t="inlineStr">
        <is>
          <t>-</t>
        </is>
      </c>
      <c r="D3" s="98" t="inlineStr">
        <is>
          <t>Journee montage pylone + revision antennes + tests radio chez F4GLD</t>
        </is>
      </c>
      <c r="E3" s="133" t="inlineStr">
        <is>
          <t>F4ASS+F1OMQ+F4GLD+volontaires</t>
        </is>
      </c>
      <c r="F3" s="101" t="inlineStr">
        <is>
          <t>URGENT</t>
        </is>
      </c>
    </row>
    <row r="4" ht="21.75" customHeight="1" s="87">
      <c r="A4" s="120" t="inlineStr">
        <is>
          <t>28 juin (J-7)</t>
        </is>
      </c>
      <c r="B4" s="134" t="inlineStr">
        <is>
          <t>J-7</t>
        </is>
      </c>
      <c r="C4" s="135" t="inlineStr">
        <is>
          <t>-</t>
        </is>
      </c>
      <c r="D4" s="136" t="inlineStr">
        <is>
          <t>Envoi rappel GPS, locator JN15XC, planning et infos acces a tous</t>
        </is>
      </c>
      <c r="E4" s="137" t="inlineStr">
        <is>
          <t>F4GLD</t>
        </is>
      </c>
      <c r="F4" s="138" t="inlineStr">
        <is>
          <t>A faire</t>
        </is>
      </c>
    </row>
    <row r="5" ht="21.75" customHeight="1" s="87">
      <c r="A5" s="139" t="inlineStr">
        <is>
          <t>Vend. 4 juillet</t>
        </is>
      </c>
      <c r="B5" s="140" t="inlineStr">
        <is>
          <t>Apres-midi</t>
        </is>
      </c>
      <c r="C5" s="141" t="inlineStr">
        <is>
          <t>-</t>
        </is>
      </c>
      <c r="D5" s="142" t="inlineStr">
        <is>
          <t>Transport remorque pylone sur site si autorisation</t>
        </is>
      </c>
      <c r="E5" s="143" t="inlineStr">
        <is>
          <t>F4GLD</t>
        </is>
      </c>
      <c r="F5" s="144" t="inlineStr">
        <is>
          <t>Optionnel</t>
        </is>
      </c>
    </row>
    <row r="6" ht="21.75" customHeight="1" s="87">
      <c r="A6" s="139" t="inlineStr">
        <is>
          <t>Vend. 4 juillet</t>
        </is>
      </c>
      <c r="B6" s="140" t="inlineStr">
        <is>
          <t>Soir</t>
        </is>
      </c>
      <c r="C6" s="141" t="inlineStr">
        <is>
          <t>-</t>
        </is>
      </c>
      <c r="D6" s="142" t="inlineStr">
        <is>
          <t>Pre-installation Barnum si meteo OK</t>
        </is>
      </c>
      <c r="E6" s="143" t="inlineStr">
        <is>
          <t>Volontaires</t>
        </is>
      </c>
      <c r="F6" s="144" t="inlineStr">
        <is>
          <t>Optionnel</t>
        </is>
      </c>
    </row>
    <row r="7" ht="21.75" customHeight="1" s="87">
      <c r="A7" s="121" t="inlineStr">
        <is>
          <t>Sam. 5 juillet</t>
        </is>
      </c>
      <c r="B7" s="145" t="inlineStr">
        <is>
          <t>08h00</t>
        </is>
      </c>
      <c r="C7" s="146" t="inlineStr">
        <is>
          <t>-</t>
        </is>
      </c>
      <c r="D7" s="147" t="inlineStr">
        <is>
          <t>Accueil des troupes. Croissants (F4GLD) et cafe. Briefing.</t>
        </is>
      </c>
      <c r="E7" s="148" t="inlineStr">
        <is>
          <t>F4GLD</t>
        </is>
      </c>
      <c r="F7" s="149" t="inlineStr">
        <is>
          <t>Prevu</t>
        </is>
      </c>
    </row>
    <row r="8" ht="21.75" customHeight="1" s="87">
      <c r="A8" s="121" t="inlineStr">
        <is>
          <t>Sam. 5 juillet</t>
        </is>
      </c>
      <c r="B8" s="145" t="inlineStr">
        <is>
          <t>08h00-10h00</t>
        </is>
      </c>
      <c r="C8" s="146" t="inlineStr">
        <is>
          <t>-</t>
        </is>
      </c>
      <c r="D8" s="147" t="inlineStr">
        <is>
          <t>Montage Barnum, installation caravane F1HAW, tentes abri</t>
        </is>
      </c>
      <c r="E8" s="148" t="inlineStr">
        <is>
          <t>F1HAW + Tous</t>
        </is>
      </c>
      <c r="F8" s="149" t="inlineStr">
        <is>
          <t>Prevu</t>
        </is>
      </c>
    </row>
    <row r="9" ht="21.75" customHeight="1" s="87">
      <c r="A9" s="121" t="inlineStr">
        <is>
          <t>Sam. 5 juillet</t>
        </is>
      </c>
      <c r="B9" s="145" t="inlineStr">
        <is>
          <t>08h00-10h00</t>
        </is>
      </c>
      <c r="C9" s="146" t="inlineStr">
        <is>
          <t>-</t>
        </is>
      </c>
      <c r="D9" s="147" t="inlineStr">
        <is>
          <t>Levage pylone, fixation haubans, orientation rotor</t>
        </is>
      </c>
      <c r="E9" s="148" t="inlineStr">
        <is>
          <t>F4ASS+F4GLD</t>
        </is>
      </c>
      <c r="F9" s="149" t="inlineStr">
        <is>
          <t>Prevu</t>
        </is>
      </c>
    </row>
    <row r="10" ht="21.75" customHeight="1" s="87">
      <c r="A10" s="121" t="inlineStr">
        <is>
          <t>Sam. 5 juillet</t>
        </is>
      </c>
      <c r="B10" s="145" t="inlineStr">
        <is>
          <t>10h00-12h00</t>
        </is>
      </c>
      <c r="C10" s="146" t="inlineStr">
        <is>
          <t>-</t>
        </is>
      </c>
      <c r="D10" s="147" t="inlineStr">
        <is>
          <t>Installation antennes, cables coaxiaux, mise en station radio</t>
        </is>
      </c>
      <c r="E10" s="148" t="inlineStr">
        <is>
          <t>F1OMQ + equipe radio</t>
        </is>
      </c>
      <c r="F10" s="149" t="inlineStr">
        <is>
          <t>Prevu</t>
        </is>
      </c>
    </row>
    <row r="11" ht="21.75" customHeight="1" s="87">
      <c r="A11" s="121" t="inlineStr">
        <is>
          <t>Sam. 5 juillet</t>
        </is>
      </c>
      <c r="B11" s="145" t="inlineStr">
        <is>
          <t>10h00-12h00</t>
        </is>
      </c>
      <c r="C11" s="146" t="inlineStr">
        <is>
          <t>-</t>
        </is>
      </c>
      <c r="D11" s="147" t="inlineStr">
        <is>
          <t>Groupe electrogene, eclairage (50m rallonge), tables, amenagement</t>
        </is>
      </c>
      <c r="E11" s="148" t="inlineStr">
        <is>
          <t>F1HAW</t>
        </is>
      </c>
      <c r="F11" s="149" t="inlineStr">
        <is>
          <t>Prevu</t>
        </is>
      </c>
    </row>
    <row r="12" ht="21.75" customHeight="1" s="87">
      <c r="A12" s="121" t="inlineStr">
        <is>
          <t>Sam. 5 juillet</t>
        </is>
      </c>
      <c r="B12" s="145" t="inlineStr">
        <is>
          <t>12h00-13h30</t>
        </is>
      </c>
      <c r="C12" s="146" t="inlineStr">
        <is>
          <t>-</t>
        </is>
      </c>
      <c r="D12" s="147" t="inlineStr">
        <is>
          <t>Dejeuner collectif (plancha + auberge espagnole)</t>
        </is>
      </c>
      <c r="E12" s="148" t="inlineStr">
        <is>
          <t>Tous</t>
        </is>
      </c>
      <c r="F12" s="149" t="inlineStr">
        <is>
          <t>Prevu</t>
        </is>
      </c>
    </row>
    <row r="13" ht="21.75" customHeight="1" s="87">
      <c r="A13" s="121" t="inlineStr">
        <is>
          <t>Sam. 5 juillet</t>
        </is>
      </c>
      <c r="B13" s="145" t="inlineStr">
        <is>
          <t>13h30-15h30</t>
        </is>
      </c>
      <c r="C13" s="146" t="inlineStr">
        <is>
          <t>-</t>
        </is>
      </c>
      <c r="D13" s="147" t="inlineStr">
        <is>
          <t>Tests radio, calibration SWR, test log sur 144 ET 432 MHz</t>
        </is>
      </c>
      <c r="E13" s="148" t="inlineStr">
        <is>
          <t>F4GLD + F1OMQ</t>
        </is>
      </c>
      <c r="F13" s="149" t="inlineStr">
        <is>
          <t>Prevu</t>
        </is>
      </c>
    </row>
    <row r="14" ht="21.75" customHeight="1" s="87">
      <c r="A14" s="121" t="inlineStr">
        <is>
          <t>Sam. 5 juillet</t>
        </is>
      </c>
      <c r="B14" s="145" t="inlineStr">
        <is>
          <t>15h45</t>
        </is>
      </c>
      <c r="C14" s="146" t="inlineStr">
        <is>
          <t>-</t>
        </is>
      </c>
      <c r="D14" s="147" t="inlineStr">
        <is>
          <t>Briefing final : frequences, repartition operateurs, procedure log</t>
        </is>
      </c>
      <c r="E14" s="148" t="inlineStr">
        <is>
          <t>F4GLD</t>
        </is>
      </c>
      <c r="F14" s="149" t="inlineStr">
        <is>
          <t>Prevu</t>
        </is>
      </c>
    </row>
    <row r="15" ht="21.75" customHeight="1" s="87">
      <c r="A15" s="125" t="inlineStr">
        <is>
          <t>Sam. 5 juillet</t>
        </is>
      </c>
      <c r="B15" s="131" t="inlineStr">
        <is>
          <t>16h00</t>
        </is>
      </c>
      <c r="C15" s="132" t="inlineStr">
        <is>
          <t>14h00 UTC</t>
        </is>
      </c>
      <c r="D15" s="150" t="inlineStr">
        <is>
          <t>DEBUT OFFICIEL DU CONTEST - F6KQJ actif sur 144 et 432 MHz</t>
        </is>
      </c>
      <c r="E15" s="133" t="inlineStr">
        <is>
          <t>Tous operateurs</t>
        </is>
      </c>
      <c r="F15" s="101" t="inlineStr">
        <is>
          <t>CRITIQUE</t>
        </is>
      </c>
    </row>
    <row r="16" ht="21.75" customHeight="1" s="87">
      <c r="A16" s="121" t="inlineStr">
        <is>
          <t>Sam. 5 juillet</t>
        </is>
      </c>
      <c r="B16" s="145" t="inlineStr">
        <is>
          <t>16h-23h</t>
        </is>
      </c>
      <c r="C16" s="146" t="inlineStr">
        <is>
          <t>14h-21h UTC</t>
        </is>
      </c>
      <c r="D16" s="147" t="inlineStr">
        <is>
          <t>Trafic contest - phonie + CW - rotation des operateurs</t>
        </is>
      </c>
      <c r="E16" s="148" t="inlineStr">
        <is>
          <t>Tous</t>
        </is>
      </c>
      <c r="F16" s="149" t="inlineStr">
        <is>
          <t>Prevu</t>
        </is>
      </c>
    </row>
    <row r="17" ht="21.75" customHeight="1" s="87">
      <c r="A17" s="121" t="inlineStr">
        <is>
          <t>Sam. 5 juillet</t>
        </is>
      </c>
      <c r="B17" s="145" t="inlineStr">
        <is>
          <t>20h00 env.</t>
        </is>
      </c>
      <c r="C17" s="146" t="inlineStr">
        <is>
          <t>-</t>
        </is>
      </c>
      <c r="D17" s="147" t="inlineStr">
        <is>
          <t>Repas du soir (plancha) - relais de garde</t>
        </is>
      </c>
      <c r="E17" s="148" t="inlineStr">
        <is>
          <t>F1HAW + F4GLD</t>
        </is>
      </c>
      <c r="F17" s="149" t="inlineStr">
        <is>
          <t>Prevu</t>
        </is>
      </c>
    </row>
    <row r="18" ht="21.75" customHeight="1" s="87">
      <c r="A18" s="128" t="inlineStr">
        <is>
          <t>Sam/Dim nuit</t>
        </is>
      </c>
      <c r="B18" s="151" t="inlineStr">
        <is>
          <t>23h-07h</t>
        </is>
      </c>
      <c r="C18" s="152" t="inlineStr">
        <is>
          <t>21h-05h UTC</t>
        </is>
      </c>
      <c r="D18" s="153" t="inlineStr">
        <is>
          <t>Garde de nuit et trafic nocturne</t>
        </is>
      </c>
      <c r="E18" s="154" t="inlineStr">
        <is>
          <t>F1HAW+F4GLD+F1OMQ+F4WGK+volontaires</t>
        </is>
      </c>
      <c r="F18" s="155" t="inlineStr">
        <is>
          <t>Prevu</t>
        </is>
      </c>
    </row>
    <row r="19" ht="21.75" customHeight="1" s="87">
      <c r="A19" s="121" t="inlineStr">
        <is>
          <t>Dim. 6 juillet</t>
        </is>
      </c>
      <c r="B19" s="145" t="inlineStr">
        <is>
          <t>07h00</t>
        </is>
      </c>
      <c r="C19" s="146" t="inlineStr">
        <is>
          <t>-</t>
        </is>
      </c>
      <c r="D19" s="147" t="inlineStr">
        <is>
          <t>Petit-dejeuner sur site (veilleurs)</t>
        </is>
      </c>
      <c r="E19" s="148" t="inlineStr">
        <is>
          <t>Veilleurs de nuit</t>
        </is>
      </c>
      <c r="F19" s="149" t="inlineStr">
        <is>
          <t>Prevu</t>
        </is>
      </c>
    </row>
    <row r="20" ht="21.75" customHeight="1" s="87">
      <c r="A20" s="121" t="inlineStr">
        <is>
          <t>Dim. 6 juillet</t>
        </is>
      </c>
      <c r="B20" s="145" t="inlineStr">
        <is>
          <t>07h-16h</t>
        </is>
      </c>
      <c r="C20" s="146" t="inlineStr">
        <is>
          <t>05h-14h UTC</t>
        </is>
      </c>
      <c r="D20" s="147" t="inlineStr">
        <is>
          <t>Trafic contest - sprint final - maximum de QSO !</t>
        </is>
      </c>
      <c r="E20" s="148" t="inlineStr">
        <is>
          <t>Tous operateurs</t>
        </is>
      </c>
      <c r="F20" s="149" t="inlineStr">
        <is>
          <t>Prevu</t>
        </is>
      </c>
    </row>
    <row r="21" ht="21.75" customHeight="1" s="87">
      <c r="A21" s="121" t="inlineStr">
        <is>
          <t>Dim. 6 juillet</t>
        </is>
      </c>
      <c r="B21" s="145" t="inlineStr">
        <is>
          <t>12h00</t>
        </is>
      </c>
      <c r="C21" s="146" t="inlineStr">
        <is>
          <t>-</t>
        </is>
      </c>
      <c r="D21" s="147" t="inlineStr">
        <is>
          <t>Dernier repas collectif avant fin du contest</t>
        </is>
      </c>
      <c r="E21" s="148" t="inlineStr">
        <is>
          <t>Tous</t>
        </is>
      </c>
      <c r="F21" s="149" t="inlineStr">
        <is>
          <t>Prevu</t>
        </is>
      </c>
    </row>
    <row r="22" ht="21.75" customHeight="1" s="87">
      <c r="A22" s="125" t="inlineStr">
        <is>
          <t>Dim. 6 juillet</t>
        </is>
      </c>
      <c r="B22" s="131" t="inlineStr">
        <is>
          <t>16h00</t>
        </is>
      </c>
      <c r="C22" s="132" t="inlineStr">
        <is>
          <t>14h00 UTC</t>
        </is>
      </c>
      <c r="D22" s="150" t="inlineStr">
        <is>
          <t>FIN OFFICIELLE DU CONTEST</t>
        </is>
      </c>
      <c r="E22" s="133" t="inlineStr">
        <is>
          <t>Tous</t>
        </is>
      </c>
      <c r="F22" s="101" t="inlineStr">
        <is>
          <t>CRITIQUE</t>
        </is>
      </c>
    </row>
    <row r="23" ht="21.75" customHeight="1" s="87">
      <c r="A23" s="125" t="inlineStr">
        <is>
          <t>Dim. 6 juillet</t>
        </is>
      </c>
      <c r="B23" s="131" t="inlineStr">
        <is>
          <t>16h-17h</t>
        </is>
      </c>
      <c r="C23" s="132" t="inlineStr">
        <is>
          <t>14h-15h UTC</t>
        </is>
      </c>
      <c r="D23" s="150" t="inlineStr">
        <is>
          <t>Sauvegarde 2 LOGS SEPARES (144 MHz + 432 MHz) en REG1TEST</t>
        </is>
      </c>
      <c r="E23" s="133" t="inlineStr">
        <is>
          <t>F4GLD + F1OMQ</t>
        </is>
      </c>
      <c r="F23" s="101" t="inlineStr">
        <is>
          <t>CRITIQUE</t>
        </is>
      </c>
    </row>
    <row r="24" ht="21.75" customHeight="1" s="87">
      <c r="A24" s="125" t="inlineStr">
        <is>
          <t>Dim. 6 juillet</t>
        </is>
      </c>
      <c r="B24" s="131" t="inlineStr">
        <is>
          <t>16h-19h</t>
        </is>
      </c>
      <c r="C24" s="132" t="inlineStr">
        <is>
          <t>-</t>
        </is>
      </c>
      <c r="D24" s="150" t="inlineStr">
        <is>
          <t>Demontage COMPLET et nettoyage - OBLIGATION STRICTE REGLEMENT</t>
        </is>
      </c>
      <c r="E24" s="133" t="inlineStr">
        <is>
          <t>Tous</t>
        </is>
      </c>
      <c r="F24" s="101" t="inlineStr">
        <is>
          <t>CRITIQUE</t>
        </is>
      </c>
    </row>
    <row r="25" ht="21.75" customHeight="1" s="87">
      <c r="A25" s="125" t="inlineStr">
        <is>
          <t>Dim. 6 juillet</t>
        </is>
      </c>
      <c r="B25" s="131" t="inlineStr">
        <is>
          <t>Avant 19h</t>
        </is>
      </c>
      <c r="C25" s="132" t="inlineStr">
        <is>
          <t>-</t>
        </is>
      </c>
      <c r="D25" s="150" t="inlineStr">
        <is>
          <t>Restitution site au club de parapente - controle proprte final</t>
        </is>
      </c>
      <c r="E25" s="133" t="inlineStr">
        <is>
          <t>F4GLD</t>
        </is>
      </c>
      <c r="F25" s="101" t="inlineStr">
        <is>
          <t>CRITIQUE</t>
        </is>
      </c>
    </row>
    <row r="26" ht="21.75" customHeight="1" s="87">
      <c r="A26" s="125" t="inlineStr">
        <is>
          <t>Merc. 9 juillet</t>
        </is>
      </c>
      <c r="B26" s="131" t="inlineStr">
        <is>
          <t>DEADLINE</t>
        </is>
      </c>
      <c r="C26" s="132" t="inlineStr">
        <is>
          <t>-</t>
        </is>
      </c>
      <c r="D26" s="98" t="inlineStr">
        <is>
          <t>Envoi des 2 logs sur http://concours.r-e-f.org/tools/upload/thf.php</t>
        </is>
      </c>
      <c r="E26" s="133" t="inlineStr">
        <is>
          <t>F4GLD</t>
        </is>
      </c>
      <c r="F26" s="101" t="inlineStr">
        <is>
          <t>DEADLINE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86" min="1" max="1"/>
    <col width="12" customWidth="1" style="86" min="2" max="2"/>
    <col width="42" customWidth="1" style="86" min="3" max="3"/>
    <col width="20" customWidth="1" style="86" min="4" max="4"/>
    <col width="22" customWidth="1" style="86" min="5" max="5"/>
    <col width="30" customWidth="1" style="86" min="6" max="6"/>
  </cols>
  <sheetData>
    <row r="1" ht="34.5" customHeight="1" s="87">
      <c r="A1" s="88" t="inlineStr">
        <is>
          <t>INTENDANCE ET REPAS - Rallye des Points Hauts 2026</t>
        </is>
      </c>
    </row>
    <row r="2" ht="15" customHeight="1" s="87">
      <c r="A2" s="156" t="inlineStr">
        <is>
          <t>Formule Auberge Espagnole + Plancha a gaz (tradition du club depuis 2023). Confirmer sa presence a F4GLD.</t>
        </is>
      </c>
    </row>
    <row r="3" ht="15" customHeight="1" s="87">
      <c r="A3" s="107" t="inlineStr">
        <is>
          <t>Repas</t>
        </is>
      </c>
      <c r="B3" s="107" t="inlineStr">
        <is>
          <t>Effectif prevu</t>
        </is>
      </c>
      <c r="C3" s="107" t="inlineStr">
        <is>
          <t>Contributions attendues</t>
        </is>
      </c>
      <c r="D3" s="107" t="inlineStr">
        <is>
          <t>Mode cuisson</t>
        </is>
      </c>
      <c r="E3" s="107" t="inlineStr">
        <is>
          <t>Responsable coordination</t>
        </is>
      </c>
      <c r="F3" s="107" t="inlineStr">
        <is>
          <t>Statut</t>
        </is>
      </c>
    </row>
    <row r="4" ht="30" customHeight="1" s="87">
      <c r="A4" s="157" t="inlineStr">
        <is>
          <t>Sam. matin 08h00</t>
        </is>
      </c>
      <c r="B4" s="157" t="inlineStr">
        <is>
          <t>6-8 (monteurs)</t>
        </is>
      </c>
      <c r="C4" s="158" t="inlineStr">
        <is>
          <t>Croissants F4GLD / Cafe + thermos a designer</t>
        </is>
      </c>
      <c r="D4" s="158" t="inlineStr">
        <is>
          <t>Froid / cafe</t>
        </is>
      </c>
      <c r="E4" s="157" t="inlineStr">
        <is>
          <t>F4GLD</t>
        </is>
      </c>
      <c r="F4" s="148" t="inlineStr">
        <is>
          <t>Prevu</t>
        </is>
      </c>
    </row>
    <row r="5" ht="30" customHeight="1" s="87">
      <c r="A5" s="117" t="inlineStr">
        <is>
          <t>Sam. midi</t>
        </is>
      </c>
      <c r="B5" s="117" t="inlineStr">
        <is>
          <t>8-12 personnes</t>
        </is>
      </c>
      <c r="C5" s="100" t="inlineStr">
        <is>
          <t>Plancha + auberge espagnole : saucisses, brochettes, salades</t>
        </is>
      </c>
      <c r="D5" s="100" t="inlineStr">
        <is>
          <t>Plancha gaz</t>
        </is>
      </c>
      <c r="E5" s="117" t="inlineStr">
        <is>
          <t>F1HAW + a designer</t>
        </is>
      </c>
      <c r="F5" s="137" t="inlineStr">
        <is>
          <t>A organiser</t>
        </is>
      </c>
    </row>
    <row r="6" ht="30" customHeight="1" s="87">
      <c r="A6" s="157" t="inlineStr">
        <is>
          <t>Sam. soir</t>
        </is>
      </c>
      <c r="B6" s="157" t="inlineStr">
        <is>
          <t>6-8 personnes</t>
        </is>
      </c>
      <c r="C6" s="158" t="inlineStr">
        <is>
          <t>Plancha + auberge espagnole : plats partages</t>
        </is>
      </c>
      <c r="D6" s="158" t="inlineStr">
        <is>
          <t>Plancha gaz</t>
        </is>
      </c>
      <c r="E6" s="157" t="inlineStr">
        <is>
          <t>A designer</t>
        </is>
      </c>
      <c r="F6" s="137" t="inlineStr">
        <is>
          <t>A organiser</t>
        </is>
      </c>
    </row>
    <row r="7" ht="30" customHeight="1" s="87">
      <c r="A7" s="117" t="inlineStr">
        <is>
          <t>Dim. matin 07h00</t>
        </is>
      </c>
      <c r="B7" s="117" t="inlineStr">
        <is>
          <t>4-6 veilleurs</t>
        </is>
      </c>
      <c r="C7" s="100" t="inlineStr">
        <is>
          <t>Chaque veilleur apporte son petit-dejeuner individuel</t>
        </is>
      </c>
      <c r="D7" s="100" t="inlineStr">
        <is>
          <t>Froid / cafe</t>
        </is>
      </c>
      <c r="E7" s="117" t="inlineStr">
        <is>
          <t>Chaque veilleur</t>
        </is>
      </c>
      <c r="F7" s="159" t="inlineStr">
        <is>
          <t>A prevoir</t>
        </is>
      </c>
    </row>
    <row r="8" ht="30" customHeight="1" s="87">
      <c r="A8" s="157" t="inlineStr">
        <is>
          <t>Dim. midi</t>
        </is>
      </c>
      <c r="B8" s="157" t="inlineStr">
        <is>
          <t>8-12 personnes</t>
        </is>
      </c>
      <c r="C8" s="158" t="inlineStr">
        <is>
          <t>Auberge espagnole - repas rapide avant fin contest 16h00</t>
        </is>
      </c>
      <c r="D8" s="158" t="inlineStr">
        <is>
          <t>Froid ou plancha</t>
        </is>
      </c>
      <c r="E8" s="157" t="inlineStr">
        <is>
          <t>A designer</t>
        </is>
      </c>
      <c r="F8" s="137" t="inlineStr">
        <is>
          <t>A organiser</t>
        </is>
      </c>
    </row>
    <row r="10" ht="9.75" customHeight="1" s="87"/>
    <row r="11" ht="15" customHeight="1" s="87">
      <c r="A11" s="160" t="inlineStr">
        <is>
          <t>GESTION EAU - CRITIQUE - Pas de point d'eau sur site</t>
        </is>
      </c>
      <c r="B11" s="94" t="n"/>
      <c r="C11" s="94" t="n"/>
      <c r="D11" s="94" t="n"/>
      <c r="E11" s="94" t="n"/>
      <c r="F11" s="91" t="n"/>
    </row>
    <row r="12" ht="15" customHeight="1" s="87">
      <c r="A12" s="130" t="inlineStr">
        <is>
          <t>Participants</t>
        </is>
      </c>
      <c r="B12" s="130" t="inlineStr">
        <is>
          <t>Jours</t>
        </is>
      </c>
      <c r="C12" s="130" t="inlineStr">
        <is>
          <t>L/pers/jour</t>
        </is>
      </c>
      <c r="D12" s="130" t="inlineStr">
        <is>
          <t>Total MINIMUM (L)</t>
        </is>
      </c>
      <c r="E12" s="130" t="inlineStr">
        <is>
          <t>Recommande (L)</t>
        </is>
      </c>
      <c r="F12" s="130" t="inlineStr">
        <is>
          <t>Note</t>
        </is>
      </c>
    </row>
    <row r="13" ht="15" customHeight="1" s="87">
      <c r="A13" s="113" t="n">
        <v>10</v>
      </c>
      <c r="B13" s="113" t="n">
        <v>2</v>
      </c>
      <c r="C13" s="113" t="n">
        <v>2</v>
      </c>
      <c r="D13" s="161">
        <f>A13*B13*C13</f>
        <v/>
      </c>
      <c r="E13" s="162">
        <f>D13*1.5</f>
        <v/>
      </c>
      <c r="F13" s="163" t="inlineStr">
        <is>
          <t>Multiplier les glacieres et pains de glace - fort soleil prevu</t>
        </is>
      </c>
    </row>
    <row r="15" ht="9.75" customHeight="1" s="87"/>
    <row r="16" ht="15" customHeight="1" s="87">
      <c r="A16" s="164" t="inlineStr">
        <is>
          <t>CUISINE SUR SITE</t>
        </is>
      </c>
      <c r="B16" s="94" t="n"/>
      <c r="C16" s="94" t="n"/>
      <c r="D16" s="94" t="n"/>
      <c r="E16" s="94" t="n"/>
      <c r="F16" s="91" t="n"/>
    </row>
    <row r="17" ht="15" customHeight="1" s="87">
      <c r="A17" s="165" t="inlineStr">
        <is>
          <t>Plancha a GAZ</t>
        </is>
      </c>
      <c r="B17" s="166" t="inlineStr">
        <is>
          <t>AUTORISEE</t>
        </is>
      </c>
      <c r="C17" s="148" t="inlineStr">
        <is>
          <t>Tradition du club depuis 2023 - F1HAW apporte la plancha</t>
        </is>
      </c>
    </row>
    <row r="18" ht="15" customHeight="1" s="87">
      <c r="A18" s="167" t="inlineStr">
        <is>
          <t>Barbecue a CHARBON</t>
        </is>
      </c>
      <c r="B18" s="168" t="inlineStr">
        <is>
          <t>INTERDIT</t>
        </is>
      </c>
      <c r="C18" s="133" t="inlineStr">
        <is>
          <t>Risque incendie + regle du terrain de parapente</t>
        </is>
      </c>
    </row>
  </sheetData>
  <mergeCells count="4">
    <mergeCell ref="A16:F16"/>
    <mergeCell ref="A11:F11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86" min="1" max="1"/>
    <col width="18" customWidth="1" style="86" min="2" max="2"/>
    <col width="20" customWidth="1" style="86" min="3" max="3"/>
    <col width="35" customWidth="1" style="86" min="4" max="4"/>
    <col width="16" customWidth="1" style="86" min="5" max="6"/>
  </cols>
  <sheetData>
    <row r="1" ht="34.5" customHeight="1" s="87">
      <c r="A1" s="88" t="inlineStr">
        <is>
          <t>PREPARATION JUIN - Montage Pylone + Revision Antennes (URGENT)</t>
        </is>
      </c>
    </row>
    <row r="2" ht="15" customHeight="1" s="87">
      <c r="A2" s="169" t="inlineStr">
        <is>
          <t>Planifier AVANT FIN JUIN chez F4GLD. Minimum 4-5 participants. Contact : F4GLD 06 28 04 97 72.</t>
        </is>
      </c>
    </row>
    <row r="3" ht="15" customHeight="1" s="87">
      <c r="A3" s="130" t="inlineStr">
        <is>
          <t>Tache</t>
        </is>
      </c>
      <c r="B3" s="130" t="inlineStr">
        <is>
          <t>Responsable</t>
        </is>
      </c>
      <c r="C3" s="130" t="inlineStr">
        <is>
          <t>Qui d'autre ?</t>
        </is>
      </c>
      <c r="D3" s="130" t="inlineStr">
        <is>
          <t>Materiel necessaire</t>
        </is>
      </c>
      <c r="E3" s="130" t="inlineStr">
        <is>
          <t>Duree estimee</t>
        </is>
      </c>
      <c r="F3" s="130" t="inlineStr">
        <is>
          <t>Statut</t>
        </is>
      </c>
    </row>
    <row r="4" ht="21.75" customHeight="1" s="87">
      <c r="A4" s="170" t="inlineStr">
        <is>
          <t>Assembler et lever le pylone sur la remorque</t>
        </is>
      </c>
      <c r="B4" s="171" t="inlineStr">
        <is>
          <t>F4ASS</t>
        </is>
      </c>
      <c r="C4" s="171" t="inlineStr">
        <is>
          <t>F4GLD + 2 bras</t>
        </is>
      </c>
      <c r="D4" s="170" t="inlineStr">
        <is>
          <t>Outillage mecanique, cles, echelle</t>
        </is>
      </c>
      <c r="E4" s="171" t="inlineStr">
        <is>
          <t>2-3h</t>
        </is>
      </c>
      <c r="F4" s="171" t="inlineStr">
        <is>
          <t>A planifier</t>
        </is>
      </c>
    </row>
    <row r="5" ht="21.75" customHeight="1" s="87">
      <c r="A5" s="100" t="inlineStr">
        <is>
          <t>Verifier et regler le systeme de rotor (et rotor KR600 si F0GVQ present)</t>
        </is>
      </c>
      <c r="B5" s="117" t="inlineStr">
        <is>
          <t>F4GLD</t>
        </is>
      </c>
      <c r="C5" s="117" t="inlineStr">
        <is>
          <t>F4GLD, F0GVQ</t>
        </is>
      </c>
      <c r="D5" s="100" t="inlineStr">
        <is>
          <t>Controleur rotor, multimetre</t>
        </is>
      </c>
      <c r="E5" s="117" t="inlineStr">
        <is>
          <t>1h</t>
        </is>
      </c>
      <c r="F5" s="117" t="inlineStr">
        <is>
          <t>A planifier</t>
        </is>
      </c>
    </row>
    <row r="6" ht="21.75" customHeight="1" s="87">
      <c r="A6" s="170" t="inlineStr">
        <is>
          <t>Reviser antenne 144 MHz (SWR, connections, elements)</t>
        </is>
      </c>
      <c r="B6" s="171" t="inlineStr">
        <is>
          <t>F1OMQ</t>
        </is>
      </c>
      <c r="C6" s="171" t="inlineStr">
        <is>
          <t>F4GLD</t>
        </is>
      </c>
      <c r="D6" s="170" t="inlineStr">
        <is>
          <t>Analyseur antenne, coax, connecteurs N</t>
        </is>
      </c>
      <c r="E6" s="171" t="inlineStr">
        <is>
          <t>1h</t>
        </is>
      </c>
      <c r="F6" s="171" t="inlineStr">
        <is>
          <t>A planifier</t>
        </is>
      </c>
    </row>
    <row r="7" ht="21.75" customHeight="1" s="87">
      <c r="A7" s="100" t="inlineStr">
        <is>
          <t>Reviser antenne 432 MHz (SWR, connections, elements)</t>
        </is>
      </c>
      <c r="B7" s="117" t="inlineStr">
        <is>
          <t>F1OMQ</t>
        </is>
      </c>
      <c r="C7" s="117" t="inlineStr">
        <is>
          <t>F4GLD</t>
        </is>
      </c>
      <c r="D7" s="100" t="inlineStr">
        <is>
          <t>Analyseur antenne, coax, connecteurs N</t>
        </is>
      </c>
      <c r="E7" s="117" t="inlineStr">
        <is>
          <t>1h</t>
        </is>
      </c>
      <c r="F7" s="117" t="inlineStr">
        <is>
          <t>A planifier</t>
        </is>
      </c>
    </row>
    <row r="8" ht="21.75" customHeight="1" s="87">
      <c r="A8" s="170" t="inlineStr">
        <is>
          <t>Tester et verifier tous les cables coaxiaux</t>
        </is>
      </c>
      <c r="B8" s="171" t="inlineStr">
        <is>
          <t>F1OMQ + F4GLD</t>
        </is>
      </c>
      <c r="C8" s="171" t="inlineStr">
        <is>
          <t>1 aide</t>
        </is>
      </c>
      <c r="D8" s="170" t="inlineStr">
        <is>
          <t>Ohmmetre, testeur coax, PL259</t>
        </is>
      </c>
      <c r="E8" s="171" t="inlineStr">
        <is>
          <t>1h</t>
        </is>
      </c>
      <c r="F8" s="171" t="inlineStr">
        <is>
          <t>A planifier</t>
        </is>
      </c>
    </row>
    <row r="9" ht="21.75" customHeight="1" s="87">
      <c r="A9" s="100" t="inlineStr">
        <is>
          <t>Demarrer et tester groupe electrogene (F1HAW)</t>
        </is>
      </c>
      <c r="B9" s="117" t="inlineStr">
        <is>
          <t>F1HAW</t>
        </is>
      </c>
      <c r="C9" s="117" t="inlineStr">
        <is>
          <t>F4GLD</t>
        </is>
      </c>
      <c r="D9" s="100" t="inlineStr">
        <is>
          <t>Jerricane essence, outillage</t>
        </is>
      </c>
      <c r="E9" s="117" t="inlineStr">
        <is>
          <t>30min</t>
        </is>
      </c>
      <c r="F9" s="117" t="inlineStr">
        <is>
          <t>A planifier</t>
        </is>
      </c>
    </row>
    <row r="10" ht="21.75" customHeight="1" s="87">
      <c r="A10" s="170" t="inlineStr">
        <is>
          <t>Mesurer consommation essence groupe electrogene</t>
        </is>
      </c>
      <c r="B10" s="171" t="inlineStr">
        <is>
          <t>F1HAW</t>
        </is>
      </c>
      <c r="C10" s="171" t="inlineStr">
        <is>
          <t>F4GLD</t>
        </is>
      </c>
      <c r="D10" s="170" t="inlineStr">
        <is>
          <t>Chronometre, jauge carburant, wattmetre</t>
        </is>
      </c>
      <c r="E10" s="171" t="inlineStr">
        <is>
          <t>1h de test</t>
        </is>
      </c>
      <c r="F10" s="171" t="inlineStr">
        <is>
          <t>A planifier</t>
        </is>
      </c>
    </row>
    <row r="11" ht="21.75" customHeight="1" s="87">
      <c r="A11" s="100" t="inlineStr">
        <is>
          <t>Tester IC-9700 #1 (144 MHz) + ampli F1OMQ</t>
        </is>
      </c>
      <c r="B11" s="117" t="inlineStr">
        <is>
          <t>F1OMQ + F4GLD</t>
        </is>
      </c>
      <c r="C11" s="117" t="inlineStr">
        <is>
          <t>F4WGK si possible</t>
        </is>
      </c>
      <c r="D11" s="100" t="inlineStr">
        <is>
          <t>IC-9700, wattmetre, charge fictive 50 ohms</t>
        </is>
      </c>
      <c r="E11" s="117" t="inlineStr">
        <is>
          <t>1h</t>
        </is>
      </c>
      <c r="F11" s="117" t="inlineStr">
        <is>
          <t>A planifier</t>
        </is>
      </c>
    </row>
    <row r="12" ht="21.75" customHeight="1" s="87">
      <c r="A12" s="170" t="inlineStr">
        <is>
          <t>Tester IC-9700 #2 (432 MHz) + ampli F1OMQ</t>
        </is>
      </c>
      <c r="B12" s="171" t="inlineStr">
        <is>
          <t>F1OMQ + F4GLD</t>
        </is>
      </c>
      <c r="C12" s="171" t="inlineStr">
        <is>
          <t>F4WGK si possible</t>
        </is>
      </c>
      <c r="D12" s="170" t="inlineStr">
        <is>
          <t>IC-9700, wattmetre, charge fictive 50 ohms</t>
        </is>
      </c>
      <c r="E12" s="171" t="inlineStr">
        <is>
          <t>1h</t>
        </is>
      </c>
      <c r="F12" s="171" t="inlineStr">
        <is>
          <t>A planifier</t>
        </is>
      </c>
    </row>
    <row r="13" ht="21.75" customHeight="1" s="87">
      <c r="A13" s="100" t="inlineStr">
        <is>
          <t>Installer et tester logiciel log format REG1TEST</t>
        </is>
      </c>
      <c r="B13" s="117" t="inlineStr">
        <is>
          <t>F4GLD</t>
        </is>
      </c>
      <c r="C13" s="117" t="inlineStr">
        <is>
          <t>F1OMQ</t>
        </is>
      </c>
      <c r="D13" s="100" t="inlineStr">
        <is>
          <t>PC contest, logiciel (ex: N1MM+ ou VQLog)</t>
        </is>
      </c>
      <c r="E13" s="117" t="inlineStr">
        <is>
          <t>1h</t>
        </is>
      </c>
      <c r="F13" s="117" t="inlineStr">
        <is>
          <t>A planifier</t>
        </is>
      </c>
    </row>
    <row r="14" ht="21.75" customHeight="1" s="87">
      <c r="A14" s="170" t="inlineStr">
        <is>
          <t>IMPORTANT : configurer 2 fichiers logs SEPARES (144 + 432 MHz)</t>
        </is>
      </c>
      <c r="B14" s="171" t="inlineStr">
        <is>
          <t>F4GLD</t>
        </is>
      </c>
      <c r="C14" s="171" t="n"/>
      <c r="D14" s="170" t="inlineStr">
        <is>
          <t>PC, logiciel log</t>
        </is>
      </c>
      <c r="E14" s="171" t="inlineStr">
        <is>
          <t>30min</t>
        </is>
      </c>
      <c r="F14" s="171" t="inlineStr">
        <is>
          <t>A planifier</t>
        </is>
      </c>
    </row>
    <row r="15" ht="21.75" customHeight="1" s="87">
      <c r="A15" s="100" t="inlineStr">
        <is>
          <t>Confirmer le locator GPS de Chaspinhac (JN15XC ?)</t>
        </is>
      </c>
      <c r="B15" s="117" t="inlineStr">
        <is>
          <t>F4GLD</t>
        </is>
      </c>
      <c r="C15" s="117" t="n"/>
      <c r="D15" s="100" t="inlineStr">
        <is>
          <t>GPS, calculateur Maidenhead</t>
        </is>
      </c>
      <c r="E15" s="117" t="inlineStr">
        <is>
          <t>30min</t>
        </is>
      </c>
      <c r="F15" s="117" t="inlineStr">
        <is>
          <t>URGENT</t>
        </is>
      </c>
    </row>
    <row r="16" ht="21.75" customHeight="1" s="87">
      <c r="A16" s="170" t="inlineStr">
        <is>
          <t>Briefing F4WGK sur le materiel et les procedures</t>
        </is>
      </c>
      <c r="B16" s="171" t="inlineStr">
        <is>
          <t>F4GLD</t>
        </is>
      </c>
      <c r="C16" s="171" t="inlineStr">
        <is>
          <t>F4WGK</t>
        </is>
      </c>
      <c r="D16" s="170" t="inlineStr">
        <is>
          <t>Documentation reglement</t>
        </is>
      </c>
      <c r="E16" s="171" t="inlineStr">
        <is>
          <t>1h</t>
        </is>
      </c>
      <c r="F16" s="171" t="inlineStr">
        <is>
          <t>A planifier</t>
        </is>
      </c>
    </row>
    <row r="17" ht="21.75" customHeight="1" s="87">
      <c r="A17" s="100" t="inlineStr">
        <is>
          <t>Verifier validite licences ANFR de chaque operateur</t>
        </is>
      </c>
      <c r="B17" s="117" t="inlineStr">
        <is>
          <t>F4GLD</t>
        </is>
      </c>
      <c r="C17" s="117" t="inlineStr">
        <is>
          <t>Chaque operateur</t>
        </is>
      </c>
      <c r="D17" s="100" t="inlineStr">
        <is>
          <t>Licences ANFR originales</t>
        </is>
      </c>
      <c r="E17" s="117" t="inlineStr">
        <is>
          <t>30min</t>
        </is>
      </c>
      <c r="F17" s="117" t="inlineStr">
        <is>
          <t>A planifier</t>
        </is>
      </c>
    </row>
    <row r="18" ht="21.75" customHeight="1" s="87">
      <c r="A18" s="170" t="inlineStr">
        <is>
          <t>Confirmer horaires d'acces au terrain de parapente</t>
        </is>
      </c>
      <c r="B18" s="171" t="inlineStr">
        <is>
          <t>F4GLD</t>
        </is>
      </c>
      <c r="C18" s="171" t="inlineStr">
        <is>
          <t>Club parapente</t>
        </is>
      </c>
      <c r="D18" s="170" t="inlineStr">
        <is>
          <t>Telephone / email</t>
        </is>
      </c>
      <c r="E18" s="171" t="inlineStr">
        <is>
          <t>RDV</t>
        </is>
      </c>
      <c r="F18" s="171" t="inlineStr">
        <is>
          <t>A planifier</t>
        </is>
      </c>
    </row>
    <row r="19" ht="21.75" customHeight="1" s="87">
      <c r="A19" s="100" t="inlineStr">
        <is>
          <t>Commander jerricanes + essence selon estimation</t>
        </is>
      </c>
      <c r="B19" s="117" t="inlineStr">
        <is>
          <t>F1HAW / F4GLD</t>
        </is>
      </c>
      <c r="C19" s="117" t="inlineStr">
        <is>
          <t>-</t>
        </is>
      </c>
      <c r="D19" s="100" t="inlineStr">
        <is>
          <t>Station-service / commande</t>
        </is>
      </c>
      <c r="E19" s="117" t="inlineStr">
        <is>
          <t>Achat</t>
        </is>
      </c>
      <c r="F19" s="117" t="inlineStr">
        <is>
          <t>A planifier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86" min="1" max="1"/>
    <col width="45" customWidth="1" style="86" min="2" max="2"/>
    <col width="20" customWidth="1" style="86" min="3" max="3"/>
    <col width="35" customWidth="1" style="86" min="4" max="4"/>
  </cols>
  <sheetData>
    <row r="1" ht="34.5" customHeight="1" s="87">
      <c r="A1" s="88" t="inlineStr">
        <is>
          <t>GUIDE LOG REG1TEST - Rallye des Points Hauts 2026</t>
        </is>
      </c>
    </row>
    <row r="2" ht="15" customHeight="1" s="87">
      <c r="A2" s="172" t="inlineStr">
        <is>
          <t>Source : Reglement officiel REF-Union 12 mars 2025 - art. 7 et 8</t>
        </is>
      </c>
    </row>
    <row r="3" ht="15" customHeight="1" s="87">
      <c r="A3" s="130" t="inlineStr">
        <is>
          <t>Point</t>
        </is>
      </c>
      <c r="B3" s="130" t="inlineStr">
        <is>
          <t>Valeur / Action</t>
        </is>
      </c>
      <c r="C3" s="130" t="inlineStr">
        <is>
          <t>Importance</t>
        </is>
      </c>
      <c r="D3" s="130" t="inlineStr">
        <is>
          <t>Remarque</t>
        </is>
      </c>
    </row>
    <row r="4" ht="21.75" customHeight="1" s="87">
      <c r="A4" s="99" t="inlineStr">
        <is>
          <t>FORMAT</t>
        </is>
      </c>
      <c r="B4" s="100" t="inlineStr">
        <is>
          <t>REG1TEST (format IARU standard)</t>
        </is>
      </c>
      <c r="C4" s="119" t="inlineStr">
        <is>
          <t>OBLIGATOIRE</t>
        </is>
      </c>
      <c r="D4" s="100" t="inlineStr">
        <is>
          <t>Sinon non-classement officiel</t>
        </is>
      </c>
    </row>
    <row r="5" ht="21.75" customHeight="1" s="87">
      <c r="A5" s="99" t="inlineStr">
        <is>
          <t>NOMBRE DE FICHIERS</t>
        </is>
      </c>
      <c r="B5" s="173" t="inlineStr">
        <is>
          <t>UN FICHIER PAR BANDE</t>
        </is>
      </c>
      <c r="C5" s="101" t="inlineStr">
        <is>
          <t>CRITIQUE</t>
        </is>
      </c>
      <c r="D5" s="100" t="inlineStr">
        <is>
          <t>2 fichiers : un pour 144 MHz, un pour 432 MHz</t>
        </is>
      </c>
    </row>
    <row r="6" ht="21.75" customHeight="1" s="87">
      <c r="A6" s="99" t="inlineStr">
        <is>
          <t>NUMEROTATION QSO</t>
        </is>
      </c>
      <c r="B6" s="100" t="inlineStr">
        <is>
          <t>Repart de 001 sur chaque bande</t>
        </is>
      </c>
      <c r="C6" s="103" t="inlineStr">
        <is>
          <t>IMPORTANT</t>
        </is>
      </c>
      <c r="D6" s="100" t="inlineStr">
        <is>
          <t>144 MHz : 001, 002... | 432 MHz : 001, 002...</t>
        </is>
      </c>
    </row>
    <row r="7" ht="21.75" customHeight="1" s="87">
      <c r="A7" s="99" t="inlineStr">
        <is>
          <t>REPORT ECHANGE</t>
        </is>
      </c>
      <c r="B7" s="100" t="inlineStr">
        <is>
          <t>RS(T) + N° QSO + QTH Locator</t>
        </is>
      </c>
      <c r="C7" s="119" t="inlineStr">
        <is>
          <t>OBLIGATOIRE</t>
        </is>
      </c>
      <c r="D7" s="100" t="inlineStr">
        <is>
          <t>Exemple : 59 001 JN15XC</t>
        </is>
      </c>
    </row>
    <row r="8" ht="21.75" customHeight="1" s="87">
      <c r="A8" s="99" t="inlineStr">
        <is>
          <t>LOCATOR A UTILISER</t>
        </is>
      </c>
      <c r="B8" s="173" t="inlineStr">
        <is>
          <t>JN15XC (Chaspinhac - A CONFIRMER)</t>
        </is>
      </c>
      <c r="C8" s="101" t="inlineStr">
        <is>
          <t>URGENT</t>
        </is>
      </c>
      <c r="D8" s="100" t="inlineStr">
        <is>
          <t>Verifier avant contest avec GPS et calculateur</t>
        </is>
      </c>
    </row>
    <row r="9" ht="21.75" customHeight="1" s="87">
      <c r="A9" s="99" t="inlineStr">
        <is>
          <t>DELAI D'ENVOI</t>
        </is>
      </c>
      <c r="B9" s="100" t="inlineStr">
        <is>
          <t>Avant le mercredi 9 juillet 2026</t>
        </is>
      </c>
      <c r="C9" s="101" t="inlineStr">
        <is>
          <t>DEADLINE</t>
        </is>
      </c>
      <c r="D9" s="100" t="inlineStr">
        <is>
          <t>1er mercredi qui suit le contest</t>
        </is>
      </c>
    </row>
    <row r="10" ht="21.75" customHeight="1" s="87">
      <c r="A10" s="99" t="inlineStr">
        <is>
          <t>URL D'UPLOAD</t>
        </is>
      </c>
      <c r="B10" s="100" t="inlineStr">
        <is>
          <t>http://concours.r-e-f.org/tools/upload/thf.php</t>
        </is>
      </c>
      <c r="C10" s="119" t="inlineStr">
        <is>
          <t>OBLIGATOIRE</t>
        </is>
      </c>
      <c r="D10" s="100" t="inlineStr">
        <is>
          <t>Envoyer chaque fichier separement</t>
        </is>
      </c>
    </row>
    <row r="11" ht="21.75" customHeight="1" s="87">
      <c r="A11" s="99" t="inlineStr">
        <is>
          <t>RESPONSABLE</t>
        </is>
      </c>
      <c r="B11" s="100" t="inlineStr">
        <is>
          <t>F4GLD - Olivier Parriaux</t>
        </is>
      </c>
      <c r="C11" s="119" t="inlineStr">
        <is>
          <t>Confirme</t>
        </is>
      </c>
      <c r="D11" s="100" t="inlineStr">
        <is>
          <t>Avec aide F1OMQ pour verification</t>
        </is>
      </c>
    </row>
    <row r="13" ht="15" customHeight="1" s="87"/>
    <row r="14" ht="15" customHeight="1" s="87">
      <c r="A14" s="164" t="inlineStr">
        <is>
          <t>EXEMPLE HEADER FICHIER REG1TEST</t>
        </is>
      </c>
      <c r="B14" s="94" t="n"/>
      <c r="C14" s="94" t="n"/>
      <c r="D14" s="91" t="n"/>
    </row>
    <row r="15" ht="15.75" customHeight="1" s="87">
      <c r="A15" s="174" t="inlineStr">
        <is>
          <t>TStart: 2026-07-05 14:00</t>
        </is>
      </c>
      <c r="B15" s="94" t="n"/>
      <c r="C15" s="94" t="n"/>
      <c r="D15" s="94" t="n"/>
    </row>
    <row r="16" ht="15.75" customHeight="1" s="87">
      <c r="A16" s="174" t="inlineStr">
        <is>
          <t>TEnd: 2026-07-06 14:00</t>
        </is>
      </c>
      <c r="B16" s="94" t="n"/>
      <c r="C16" s="94" t="n"/>
      <c r="D16" s="94" t="n"/>
    </row>
    <row r="17" ht="15.75" customHeight="1" s="87">
      <c r="A17" s="174" t="inlineStr">
        <is>
          <t>PCall: F6KQJ</t>
        </is>
      </c>
      <c r="B17" s="94" t="n"/>
      <c r="C17" s="94" t="n"/>
      <c r="D17" s="94" t="n"/>
    </row>
    <row r="18" ht="15.75" customHeight="1" s="87">
      <c r="A18" s="174" t="inlineStr">
        <is>
          <t>PWWLo: JN15XC</t>
        </is>
      </c>
      <c r="B18" s="94" t="n"/>
      <c r="C18" s="94" t="n"/>
      <c r="D18" s="94" t="n"/>
    </row>
    <row r="19" ht="15.75" customHeight="1" s="87">
      <c r="A19" s="174" t="inlineStr">
        <is>
          <t>PBand: 144 MHz  (ou 432 MHz pour le 2eme fichier)</t>
        </is>
      </c>
      <c r="B19" s="94" t="n"/>
      <c r="C19" s="94" t="n"/>
      <c r="D19" s="94" t="n"/>
    </row>
    <row r="20" ht="15.75" customHeight="1" s="87">
      <c r="A20" s="174" t="inlineStr">
        <is>
          <t>PClub: Radio-Club F6KQJ</t>
        </is>
      </c>
      <c r="B20" s="94" t="n"/>
      <c r="C20" s="94" t="n"/>
      <c r="D20" s="94" t="n"/>
    </row>
    <row r="21" ht="15.75" customHeight="1" s="87">
      <c r="A21" s="174" t="inlineStr">
        <is>
          <t>RName: Olivier Parriaux</t>
        </is>
      </c>
      <c r="B21" s="94" t="n"/>
      <c r="C21" s="94" t="n"/>
      <c r="D21" s="94" t="n"/>
    </row>
    <row r="22" ht="15.75" customHeight="1" s="87">
      <c r="A22" s="174" t="inlineStr">
        <is>
          <t>RCall: F4GLD</t>
        </is>
      </c>
      <c r="B22" s="94" t="n"/>
      <c r="C22" s="94" t="n"/>
      <c r="D22" s="94" t="n"/>
    </row>
    <row r="23" ht="15.75" customHeight="1" s="87">
      <c r="A23" s="174" t="inlineStr">
        <is>
          <t>RHBBS: f4gld@hotmail.fr</t>
        </is>
      </c>
      <c r="B23" s="94" t="n"/>
      <c r="C23" s="94" t="n"/>
      <c r="D23" s="94" t="n"/>
    </row>
  </sheetData>
  <mergeCells count="12">
    <mergeCell ref="A1:D1"/>
    <mergeCell ref="A17:D17"/>
    <mergeCell ref="A18:D18"/>
    <mergeCell ref="A23:D23"/>
    <mergeCell ref="A22:D22"/>
    <mergeCell ref="A20:D20"/>
    <mergeCell ref="A21:D21"/>
    <mergeCell ref="A15:D15"/>
    <mergeCell ref="A16:D16"/>
    <mergeCell ref="A2:D2"/>
    <mergeCell ref="A19:D19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2026-06-07T07:50:11Z</dcterms:created>
  <dcterms:modified xmlns:dcterms="http://purl.org/dc/terms/" xmlns:xsi="http://www.w3.org/2001/XMLSchema-instance" xsi:type="dcterms:W3CDTF">2026-06-07T10:06:37Z</dcterms:modified>
  <cp:revision>0</cp:revision>
</cp:coreProperties>
</file>